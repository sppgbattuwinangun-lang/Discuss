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Harian" sheetId="1" r:id="rId4"/>
    <sheet state="visible" name="Grafik Item" sheetId="2" r:id="rId5"/>
    <sheet state="visible" name="Dashboard" sheetId="3" r:id="rId6"/>
    <sheet state="visible" name="Panduan" sheetId="4" r:id="rId7"/>
  </sheets>
  <definedNames>
    <definedName hidden="1" localSheetId="0" name="_xlnm._FilterDatabase">'Input Harian'!$A$5:$AM$305</definedName>
  </definedNames>
  <calcPr/>
  <extLst>
    <ext uri="GoogleSheetsCustomDataVersion2">
      <go:sheetsCustomData xmlns:go="http://customooxmlschemas.google.com/" r:id="rId8" roundtripDataChecksum="bzaea8EJWI1mqJxagBsBm1UP2+D4r/z1G8mdYz40sBU="/>
    </ext>
  </extLst>
</workbook>
</file>

<file path=xl/sharedStrings.xml><?xml version="1.0" encoding="utf-8"?>
<sst xmlns="http://schemas.openxmlformats.org/spreadsheetml/2006/main" count="102" uniqueCount="90">
  <si>
    <t>MONITORING SAMPAH PASCA DISTRIBUSI MBG - ANALISIS OTOMATIS PER ITEM</t>
  </si>
  <si>
    <t>Ambang Serapan</t>
  </si>
  <si>
    <t>Ambang Maks. Sampah</t>
  </si>
  <si>
    <t>Keterangan</t>
  </si>
  <si>
    <t>Status "Terserap" jika % Serapan &gt;= 80% atau % Sampah &lt;= 20%</t>
  </si>
  <si>
    <t>Informasi Hari</t>
  </si>
  <si>
    <t>Nama Menu</t>
  </si>
  <si>
    <t>Operasional</t>
  </si>
  <si>
    <t>Nasi</t>
  </si>
  <si>
    <t>Protein Hewani</t>
  </si>
  <si>
    <t>Sayur</t>
  </si>
  <si>
    <t>Protein Nabati</t>
  </si>
  <si>
    <t>Buah</t>
  </si>
  <si>
    <t>Ringkasan Total</t>
  </si>
  <si>
    <t>No</t>
  </si>
  <si>
    <t>Tanggal</t>
  </si>
  <si>
    <t>Hari</t>
  </si>
  <si>
    <t>Menu Nasi</t>
  </si>
  <si>
    <t>Menu Protein Hewani</t>
  </si>
  <si>
    <t>Menu Sayur</t>
  </si>
  <si>
    <t>Menu Protein Nabati</t>
  </si>
  <si>
    <t>Menu Buah</t>
  </si>
  <si>
    <t>Jumlah Porsi</t>
  </si>
  <si>
    <t>Pemakaian Nasi (kg)</t>
  </si>
  <si>
    <t>Sampah Nasi (kg)</t>
  </si>
  <si>
    <t>% Sampah Nasi</t>
  </si>
  <si>
    <t>% Serapan Nasi</t>
  </si>
  <si>
    <t>Status Nasi</t>
  </si>
  <si>
    <t>Pemakaian Protein Hewani (kg)</t>
  </si>
  <si>
    <t>Sampah Protein Hewani (kg)</t>
  </si>
  <si>
    <t>% Sampah Protein Hewani</t>
  </si>
  <si>
    <t>% Serapan Protein Hewani</t>
  </si>
  <si>
    <t>Status Protein Hewani</t>
  </si>
  <si>
    <t>Pemakaian Sayur (kg)</t>
  </si>
  <si>
    <t>Sampah Sayur (kg)</t>
  </si>
  <si>
    <t>% Sampah Sayur</t>
  </si>
  <si>
    <t>% Serapan Sayur</t>
  </si>
  <si>
    <t>Status Sayur</t>
  </si>
  <si>
    <t>Pemakaian Protein Nabati (kg)</t>
  </si>
  <si>
    <t>Sampah Protein Nabati (kg)</t>
  </si>
  <si>
    <t>% Sampah Protein Nabati</t>
  </si>
  <si>
    <t>% Serapan Protein Nabati</t>
  </si>
  <si>
    <t>Status Protein Nabati</t>
  </si>
  <si>
    <t>Pemakaian Buah (kg)</t>
  </si>
  <si>
    <t>Sampah Buah (kg)</t>
  </si>
  <si>
    <t>% Sampah Buah</t>
  </si>
  <si>
    <t>% Serapan Buah</t>
  </si>
  <si>
    <t>Status Buah</t>
  </si>
  <si>
    <t>Total Pemakaian (kg)</t>
  </si>
  <si>
    <t>Total Sampah (kg)</t>
  </si>
  <si>
    <t>% Sampah Total</t>
  </si>
  <si>
    <t>% Serapan Total</t>
  </si>
  <si>
    <t>Status Total</t>
  </si>
  <si>
    <t>Nasi Putih</t>
  </si>
  <si>
    <t>Telur</t>
  </si>
  <si>
    <t>Sayur Tumis</t>
  </si>
  <si>
    <t>Tempe</t>
  </si>
  <si>
    <t>Pisang</t>
  </si>
  <si>
    <t>GRAFIK HARIAN ANALISIS SAMPAH PER ITEM</t>
  </si>
  <si>
    <t>Grafik membandingkan pemakaian dan sampah harian untuk masing-masing item serta total keseluruhan.</t>
  </si>
  <si>
    <t>DASHBOARD ANALISIS SAMPAH MBG</t>
  </si>
  <si>
    <t>Rekap total sampah per item, total keseluruhan, dan status akhir berdasarkan ambang serapan 80%.</t>
  </si>
  <si>
    <t>Hari Tercatat</t>
  </si>
  <si>
    <t>Total Pemakaian Keseluruhan (kg)</t>
  </si>
  <si>
    <t>Total Sampah Keseluruhan (kg)</t>
  </si>
  <si>
    <t>% Serapan Keseluruhan</t>
  </si>
  <si>
    <t>Hari Status Terserap</t>
  </si>
  <si>
    <t>Ringkasan Per Item</t>
  </si>
  <si>
    <t>Item</t>
  </si>
  <si>
    <t>% Sampah</t>
  </si>
  <si>
    <t>% Serapan</t>
  </si>
  <si>
    <t>Ambang Terserap</t>
  </si>
  <si>
    <t>Maks. Sampah</t>
  </si>
  <si>
    <t>Status Akhir</t>
  </si>
  <si>
    <t>TOTAL KESELURUHAN</t>
  </si>
  <si>
    <t>Ambang penilaian: status "Terserap" jika serapan minimal 80% dari total pemakaian item.</t>
  </si>
  <si>
    <t>PANDUAN &amp; PARAMETER ANALISIS SAMPAH MBG</t>
  </si>
  <si>
    <t>Parameter Penilaian</t>
  </si>
  <si>
    <t>Ambang minimal serapan agar status = Terserap</t>
  </si>
  <si>
    <t>Ambang maksimal sampah terhadap pemakaian</t>
  </si>
  <si>
    <t>Satuan input</t>
  </si>
  <si>
    <t>kilogram (kg)</t>
  </si>
  <si>
    <t>Keterangan status</t>
  </si>
  <si>
    <t>Terserap jika % Serapan &gt;= 80% atau % Sampah &lt;= 20%</t>
  </si>
  <si>
    <t>Cara Pakai</t>
  </si>
  <si>
    <t>1. Isi tanggal, nama menu, jumlah porsi, total pemakaian item, dan jumlah sampah item pada sheet Input Harian.</t>
  </si>
  <si>
    <t>2. Semua input berat menggunakan satuan kilogram (kg).</t>
  </si>
  <si>
    <t>3. Kolom % Sampah, % Serapan, dan Status akan terhitung otomatis untuk setiap item dan total keseluruhan.</t>
  </si>
  <si>
    <t>4. Dashboard menampilkan rekap total sampah per item, total keseluruhan, ambang batas, dan status akhir.</t>
  </si>
  <si>
    <t>5. Sheet Grafik Item menampilkan grafik harian untuk masing-masing item agar mudah membandingkan pemakaian dan sampah.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</si>
</sst>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\ mmmm\ yyyy"/>
  </numFmts>
  <fonts count="13">
    <font>
      <sz val="11.0"/>
      <color theme="1"/>
      <name val="Calibri"/>
      <scheme val="minor"/>
    </font>
    <font>
      <b/>
      <sz val="14.0"/>
      <color rgb="FFFFFFFF"/>
      <name val="Cambria"/>
    </font>
    <font/>
    <font>
      <b/>
      <sz val="11.0"/>
      <color theme="1"/>
      <name val="Cambria"/>
    </font>
    <font>
      <sz val="11.0"/>
      <color theme="1"/>
      <name val="Calibri"/>
    </font>
    <font>
      <b/>
      <sz val="11.0"/>
      <color rgb="FFFFFFFF"/>
      <name val="Cambria"/>
    </font>
    <font>
      <b/>
      <sz val="11.0"/>
      <color rgb="FF000000"/>
      <name val="Cambria"/>
    </font>
    <font>
      <sz val="11.0"/>
      <color rgb="FF000000"/>
      <name val="Cambria"/>
    </font>
    <font>
      <sz val="11.0"/>
      <color rgb="FF0000FF"/>
      <name val="Cambria"/>
    </font>
    <font>
      <i/>
      <sz val="11.0"/>
      <color rgb="FF404040"/>
      <name val="Cambria"/>
    </font>
    <font>
      <b/>
      <sz val="14.0"/>
      <color theme="1"/>
      <name val="Cambria"/>
    </font>
    <font>
      <i/>
      <sz val="11.0"/>
      <color rgb="FF666666"/>
      <name val="Cambria"/>
    </font>
    <font>
      <sz val="11.0"/>
      <color rgb="FF666666"/>
      <name val="Cambria"/>
    </font>
  </fonts>
  <fills count="12">
    <fill>
      <patternFill patternType="none"/>
    </fill>
    <fill>
      <patternFill patternType="lightGray"/>
    </fill>
    <fill>
      <patternFill patternType="solid">
        <fgColor rgb="FF2F6B2D"/>
        <bgColor rgb="FF2F6B2D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EAF2D3"/>
        <bgColor rgb="FFEAF2D3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4" fillId="4" fontId="4" numFmtId="164" xfId="0" applyAlignment="1" applyBorder="1" applyFill="1" applyFont="1" applyNumberFormat="1">
      <alignment shrinkToFit="0" vertical="bottom" wrapText="0"/>
    </xf>
    <xf borderId="5" fillId="0" fontId="4" numFmtId="0" xfId="0" applyAlignment="1" applyBorder="1" applyFont="1">
      <alignment shrinkToFit="0" vertical="bottom" wrapText="1"/>
    </xf>
    <xf borderId="6" fillId="0" fontId="2" numFmtId="0" xfId="0" applyBorder="1" applyFont="1"/>
    <xf borderId="7" fillId="0" fontId="2" numFmtId="0" xfId="0" applyBorder="1" applyFont="1"/>
    <xf borderId="5" fillId="5" fontId="5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5" fillId="6" fontId="6" numFmtId="0" xfId="0" applyAlignment="1" applyBorder="1" applyFill="1" applyFont="1">
      <alignment horizontal="center" shrinkToFit="0" vertical="center" wrapText="0"/>
    </xf>
    <xf borderId="5" fillId="7" fontId="6" numFmtId="0" xfId="0" applyAlignment="1" applyBorder="1" applyFill="1" applyFont="1">
      <alignment horizontal="center" shrinkToFit="0" vertical="center" wrapText="0"/>
    </xf>
    <xf borderId="5" fillId="8" fontId="6" numFmtId="0" xfId="0" applyAlignment="1" applyBorder="1" applyFill="1" applyFont="1">
      <alignment horizontal="center" shrinkToFit="0" vertical="center" wrapText="0"/>
    </xf>
    <xf borderId="5" fillId="9" fontId="6" numFmtId="0" xfId="0" applyAlignment="1" applyBorder="1" applyFill="1" applyFont="1">
      <alignment horizontal="center" shrinkToFit="0" vertical="center" wrapText="0"/>
    </xf>
    <xf borderId="5" fillId="4" fontId="6" numFmtId="0" xfId="0" applyAlignment="1" applyBorder="1" applyFont="1">
      <alignment horizontal="center" shrinkToFit="0" vertical="center" wrapText="0"/>
    </xf>
    <xf borderId="5" fillId="3" fontId="6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4" fillId="8" fontId="3" numFmtId="0" xfId="0" applyAlignment="1" applyBorder="1" applyFont="1">
      <alignment horizontal="center" shrinkToFit="0" vertical="center" wrapText="1"/>
    </xf>
    <xf borderId="4" fillId="9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" fillId="10" fontId="7" numFmtId="0" xfId="0" applyAlignment="1" applyBorder="1" applyFill="1" applyFont="1">
      <alignment horizontal="center" shrinkToFit="0" vertical="center" wrapText="1"/>
    </xf>
    <xf borderId="4" fillId="9" fontId="4" numFmtId="165" xfId="0" applyAlignment="1" applyBorder="1" applyFont="1" applyNumberFormat="1">
      <alignment horizontal="center" readingOrder="0" shrinkToFit="0" vertical="center" wrapText="1"/>
    </xf>
    <xf borderId="4" fillId="9" fontId="4" numFmtId="0" xfId="0" applyAlignment="1" applyBorder="1" applyFont="1">
      <alignment horizontal="center" readingOrder="0" shrinkToFit="0" vertical="center" wrapText="1"/>
    </xf>
    <xf borderId="4" fillId="9" fontId="8" numFmtId="3" xfId="0" applyAlignment="1" applyBorder="1" applyFont="1" applyNumberFormat="1">
      <alignment horizontal="center" readingOrder="0" shrinkToFit="0" vertical="center" wrapText="1"/>
    </xf>
    <xf borderId="4" fillId="9" fontId="8" numFmtId="4" xfId="0" applyAlignment="1" applyBorder="1" applyFont="1" applyNumberFormat="1">
      <alignment horizontal="center" readingOrder="0" shrinkToFit="0" vertical="center" wrapText="1"/>
    </xf>
    <xf borderId="4" fillId="10" fontId="7" numFmtId="164" xfId="0" applyAlignment="1" applyBorder="1" applyFont="1" applyNumberFormat="1">
      <alignment horizontal="center" shrinkToFit="0" vertical="center" wrapText="1"/>
    </xf>
    <xf borderId="4" fillId="10" fontId="7" numFmtId="4" xfId="0" applyAlignment="1" applyBorder="1" applyFont="1" applyNumberFormat="1">
      <alignment horizontal="center" shrinkToFit="0" vertical="center" wrapText="1"/>
    </xf>
    <xf borderId="4" fillId="9" fontId="8" numFmtId="4" xfId="0" applyAlignment="1" applyBorder="1" applyFont="1" applyNumberFormat="1">
      <alignment horizontal="center" shrinkToFit="0" vertical="center" wrapText="1"/>
    </xf>
    <xf borderId="4" fillId="9" fontId="4" numFmtId="0" xfId="0" applyAlignment="1" applyBorder="1" applyFont="1">
      <alignment horizontal="center" shrinkToFit="0" vertical="center" wrapText="1"/>
    </xf>
    <xf borderId="4" fillId="9" fontId="8" numFmtId="3" xfId="0" applyAlignment="1" applyBorder="1" applyFont="1" applyNumberFormat="1">
      <alignment horizontal="center" shrinkToFit="0" vertical="center" wrapText="1"/>
    </xf>
    <xf borderId="4" fillId="9" fontId="4" numFmtId="165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1"/>
    </xf>
    <xf borderId="5" fillId="3" fontId="3" numFmtId="0" xfId="0" applyAlignment="1" applyBorder="1" applyFont="1">
      <alignment horizontal="center" shrinkToFit="0" vertical="center" wrapText="1"/>
    </xf>
    <xf borderId="8" fillId="3" fontId="10" numFmtId="3" xfId="0" applyAlignment="1" applyBorder="1" applyFont="1" applyNumberFormat="1">
      <alignment horizontal="center" shrinkToFit="0" vertical="center" wrapText="0"/>
    </xf>
    <xf borderId="9" fillId="0" fontId="2" numFmtId="0" xfId="0" applyBorder="1" applyFont="1"/>
    <xf borderId="10" fillId="0" fontId="2" numFmtId="0" xfId="0" applyBorder="1" applyFont="1"/>
    <xf borderId="8" fillId="9" fontId="10" numFmtId="4" xfId="0" applyAlignment="1" applyBorder="1" applyFont="1" applyNumberFormat="1">
      <alignment horizontal="center" shrinkToFit="0" vertical="center" wrapText="0"/>
    </xf>
    <xf borderId="8" fillId="7" fontId="10" numFmtId="4" xfId="0" applyAlignment="1" applyBorder="1" applyFont="1" applyNumberFormat="1">
      <alignment horizontal="center" shrinkToFit="0" vertical="center" wrapText="0"/>
    </xf>
    <xf borderId="8" fillId="8" fontId="10" numFmtId="164" xfId="0" applyAlignment="1" applyBorder="1" applyFont="1" applyNumberFormat="1">
      <alignment horizontal="center" shrinkToFit="0" vertical="center" wrapText="0"/>
    </xf>
    <xf borderId="8" fillId="4" fontId="10" numFmtId="3" xfId="0" applyAlignment="1" applyBorder="1" applyFont="1" applyNumberFormat="1">
      <alignment horizontal="center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3" fontId="3" numFmtId="0" xfId="0" applyAlignment="1" applyBorder="1" applyFont="1">
      <alignment horizontal="center" shrinkToFit="0" vertical="center" wrapText="0"/>
    </xf>
    <xf borderId="4" fillId="11" fontId="3" numFmtId="0" xfId="0" applyAlignment="1" applyBorder="1" applyFill="1" applyFont="1">
      <alignment horizontal="center" shrinkToFit="0" vertical="center" wrapText="1"/>
    </xf>
    <xf borderId="4" fillId="0" fontId="4" numFmtId="4" xfId="0" applyAlignment="1" applyBorder="1" applyFont="1" applyNumberForma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4" fontId="3" numFmtId="4" xfId="0" applyAlignment="1" applyBorder="1" applyFont="1" applyNumberFormat="1">
      <alignment horizontal="center" shrinkToFit="0" vertical="center" wrapText="1"/>
    </xf>
    <xf borderId="4" fillId="4" fontId="3" numFmtId="164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14" fillId="3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4" fontId="12" numFmtId="16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Nasi: Pemakaian vs Sampah Harian</a:t>
            </a:r>
          </a:p>
        </c:rich>
      </c:tx>
      <c:overlay val="0"/>
    </c:title>
    <c:plotArea>
      <c:layout/>
      <c:lineChart>
        <c:ser>
          <c:idx val="0"/>
          <c:order val="0"/>
          <c:tx>
            <c:v>Pemakaian Nasi (kg)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Harian'!$J$6:$J$305</c:f>
              <c:numCache/>
            </c:numRef>
          </c:val>
          <c:smooth val="0"/>
        </c:ser>
        <c:ser>
          <c:idx val="1"/>
          <c:order val="1"/>
          <c:tx>
            <c:v>Sampah Nasi (kg)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Harian'!$K$6:$K$305</c:f>
              <c:numCache/>
            </c:numRef>
          </c:val>
          <c:smooth val="0"/>
        </c:ser>
        <c:axId val="542803002"/>
        <c:axId val="955697737"/>
      </c:lineChart>
      <c:catAx>
        <c:axId val="542803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5697737"/>
      </c:catAx>
      <c:valAx>
        <c:axId val="955697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280300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Protein Hewani: Pemakaian vs Sampah Harian</a:t>
            </a:r>
          </a:p>
        </c:rich>
      </c:tx>
      <c:overlay val="0"/>
    </c:title>
    <c:plotArea>
      <c:layout/>
      <c:lineChart>
        <c:ser>
          <c:idx val="0"/>
          <c:order val="0"/>
          <c:tx>
            <c:v>Pemakaian Protein Hewani (kg)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Harian'!$O$6:$O$305</c:f>
              <c:numCache/>
            </c:numRef>
          </c:val>
          <c:smooth val="1"/>
        </c:ser>
        <c:ser>
          <c:idx val="1"/>
          <c:order val="1"/>
          <c:tx>
            <c:v>Sampah Protein Hewani (kg)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Harian'!$P$6:$P$305</c:f>
              <c:numCache/>
            </c:numRef>
          </c:val>
          <c:smooth val="1"/>
        </c:ser>
        <c:axId val="1714390084"/>
        <c:axId val="1548920722"/>
      </c:lineChart>
      <c:catAx>
        <c:axId val="1714390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48920722"/>
      </c:catAx>
      <c:valAx>
        <c:axId val="1548920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1439008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Sayur: Pemakaian vs Sampah Harian</a:t>
            </a:r>
          </a:p>
        </c:rich>
      </c:tx>
      <c:overlay val="0"/>
    </c:title>
    <c:plotArea>
      <c:layout/>
      <c:lineChart>
        <c:ser>
          <c:idx val="0"/>
          <c:order val="0"/>
          <c:tx>
            <c:v>Pemakaian Sayur (kg)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Harian'!$T$6:$T$305</c:f>
              <c:numCache/>
            </c:numRef>
          </c:val>
          <c:smooth val="1"/>
        </c:ser>
        <c:ser>
          <c:idx val="1"/>
          <c:order val="1"/>
          <c:tx>
            <c:v>Sampah Sayur (kg)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Harian'!$U$6:$U$305</c:f>
              <c:numCache/>
            </c:numRef>
          </c:val>
          <c:smooth val="1"/>
        </c:ser>
        <c:axId val="1753074836"/>
        <c:axId val="1555916507"/>
      </c:lineChart>
      <c:catAx>
        <c:axId val="1753074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55916507"/>
      </c:catAx>
      <c:valAx>
        <c:axId val="1555916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307483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Protein Nabati: Pemakaian vs Sampah Harian</a:t>
            </a:r>
          </a:p>
        </c:rich>
      </c:tx>
      <c:overlay val="0"/>
    </c:title>
    <c:plotArea>
      <c:layout/>
      <c:lineChart>
        <c:ser>
          <c:idx val="0"/>
          <c:order val="0"/>
          <c:tx>
            <c:v>Pemakaian Protein Nabati (kg)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Harian'!$Y$6:$Y$305</c:f>
              <c:numCache/>
            </c:numRef>
          </c:val>
          <c:smooth val="1"/>
        </c:ser>
        <c:ser>
          <c:idx val="1"/>
          <c:order val="1"/>
          <c:tx>
            <c:v>Sampah Protein Nabati (kg)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Harian'!$Z$6:$Z$305</c:f>
              <c:numCache/>
            </c:numRef>
          </c:val>
          <c:smooth val="1"/>
        </c:ser>
        <c:axId val="846254846"/>
        <c:axId val="749379769"/>
      </c:lineChart>
      <c:catAx>
        <c:axId val="846254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49379769"/>
      </c:catAx>
      <c:valAx>
        <c:axId val="749379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4625484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Buah: Pemakaian vs Sampah Harian</a:t>
            </a:r>
          </a:p>
        </c:rich>
      </c:tx>
      <c:overlay val="0"/>
    </c:title>
    <c:plotArea>
      <c:layout/>
      <c:lineChart>
        <c:ser>
          <c:idx val="0"/>
          <c:order val="0"/>
          <c:tx>
            <c:v>Pemakaian Buah (kg)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Harian'!$AD$6:$AD$305</c:f>
              <c:numCache/>
            </c:numRef>
          </c:val>
          <c:smooth val="1"/>
        </c:ser>
        <c:ser>
          <c:idx val="1"/>
          <c:order val="1"/>
          <c:tx>
            <c:v>Sampah Buah (kg)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Harian'!$AE$6:$AE$305</c:f>
              <c:numCache/>
            </c:numRef>
          </c:val>
          <c:smooth val="1"/>
        </c:ser>
        <c:axId val="1293645339"/>
        <c:axId val="2056024838"/>
      </c:lineChart>
      <c:catAx>
        <c:axId val="1293645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6024838"/>
      </c:catAx>
      <c:valAx>
        <c:axId val="2056024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36453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Total Keseluruhan: Pemakaian vs Sampah Harian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Total Pemakaian (kg)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Harian'!$AI$6:$AI$305</c:f>
              <c:numCache/>
            </c:numRef>
          </c:val>
          <c:smooth val="1"/>
        </c:ser>
        <c:ser>
          <c:idx val="1"/>
          <c:order val="1"/>
          <c:tx>
            <c:v>Total Sampah (kg)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'Input Harian'!$B$6:$B$305</c:f>
            </c:strRef>
          </c:cat>
          <c:val>
            <c:numRef>
              <c:f>'Input Harian'!$AJ$6:$AJ$305</c:f>
              <c:numCache/>
            </c:numRef>
          </c:val>
          <c:smooth val="1"/>
        </c:ser>
        <c:axId val="2078490078"/>
        <c:axId val="1864569951"/>
      </c:lineChart>
      <c:catAx>
        <c:axId val="2078490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64569951"/>
      </c:catAx>
      <c:valAx>
        <c:axId val="1864569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7849007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Total Pemakaian vs Total Sampah per Item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Pemakaian (kg)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Dashboard!$A$10:$A$14</c:f>
            </c:strRef>
          </c:cat>
          <c:val>
            <c:numRef>
              <c:f>Dashboard!$B$10:$B$14</c:f>
              <c:numCache/>
            </c:numRef>
          </c:val>
        </c:ser>
        <c:ser>
          <c:idx val="1"/>
          <c:order val="1"/>
          <c:tx>
            <c:v>Total Sampah (kg)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Dashboard!$A$10:$A$14</c:f>
            </c:strRef>
          </c:cat>
          <c:val>
            <c:numRef>
              <c:f>Dashboard!$C$10:$C$14</c:f>
              <c:numCache/>
            </c:numRef>
          </c:val>
        </c:ser>
        <c:axId val="278023980"/>
        <c:axId val="1376286179"/>
      </c:barChart>
      <c:catAx>
        <c:axId val="278023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76286179"/>
      </c:catAx>
      <c:valAx>
        <c:axId val="1376286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7802398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Persentase Serapan per Item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Serapan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Dashboard!$A$10:$A$14</c:f>
            </c:strRef>
          </c:cat>
          <c:val>
            <c:numRef>
              <c:f>Dashboard!$E$10:$E$14</c:f>
              <c:numCache/>
            </c:numRef>
          </c:val>
        </c:ser>
        <c:axId val="2109159857"/>
        <c:axId val="2062039996"/>
      </c:barChart>
      <c:catAx>
        <c:axId val="2109159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62039996"/>
      </c:catAx>
      <c:valAx>
        <c:axId val="2062039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Persentase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09159857"/>
      </c:valAx>
    </c:plotArea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286250" cy="2695575"/>
    <xdr:graphicFrame>
      <xdr:nvGraphicFramePr>
        <xdr:cNvPr id="137957603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</xdr:row>
      <xdr:rowOff>0</xdr:rowOff>
    </xdr:from>
    <xdr:ext cx="4286250" cy="2695575"/>
    <xdr:graphicFrame>
      <xdr:nvGraphicFramePr>
        <xdr:cNvPr id="183140201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0</xdr:rowOff>
    </xdr:from>
    <xdr:ext cx="4286250" cy="2695575"/>
    <xdr:graphicFrame>
      <xdr:nvGraphicFramePr>
        <xdr:cNvPr id="49481164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0</xdr:colOff>
      <xdr:row>19</xdr:row>
      <xdr:rowOff>0</xdr:rowOff>
    </xdr:from>
    <xdr:ext cx="4286250" cy="2695575"/>
    <xdr:graphicFrame>
      <xdr:nvGraphicFramePr>
        <xdr:cNvPr id="30784865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0</xdr:rowOff>
    </xdr:from>
    <xdr:ext cx="4286250" cy="2695575"/>
    <xdr:graphicFrame>
      <xdr:nvGraphicFramePr>
        <xdr:cNvPr id="37602619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0</xdr:colOff>
      <xdr:row>35</xdr:row>
      <xdr:rowOff>0</xdr:rowOff>
    </xdr:from>
    <xdr:ext cx="4286250" cy="2695575"/>
    <xdr:graphicFrame>
      <xdr:nvGraphicFramePr>
        <xdr:cNvPr id="208075001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7</xdr:row>
      <xdr:rowOff>0</xdr:rowOff>
    </xdr:from>
    <xdr:ext cx="4429125" cy="2876550"/>
    <xdr:graphicFrame>
      <xdr:nvGraphicFramePr>
        <xdr:cNvPr id="1933800969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17</xdr:row>
      <xdr:rowOff>133350</xdr:rowOff>
    </xdr:from>
    <xdr:ext cx="4429125" cy="2876550"/>
    <xdr:graphicFrame>
      <xdr:nvGraphicFramePr>
        <xdr:cNvPr id="188444012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6B2D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7.71"/>
    <col customWidth="1" min="2" max="2" width="13.0"/>
    <col customWidth="1" min="3" max="3" width="12.0"/>
    <col customWidth="1" min="4" max="4" width="23.29"/>
    <col customWidth="1" min="5" max="5" width="22.0"/>
    <col customWidth="1" min="6" max="6" width="18.0"/>
    <col customWidth="1" min="7" max="7" width="22.0"/>
    <col customWidth="1" min="8" max="8" width="16.0"/>
    <col customWidth="1" min="9" max="9" width="12.86"/>
    <col customWidth="1" min="10" max="11" width="16.0"/>
    <col customWidth="1" min="12" max="13" width="12.0"/>
    <col customWidth="1" min="14" max="14" width="16.0"/>
    <col customWidth="1" min="15" max="16" width="18.0"/>
    <col customWidth="1" min="17" max="18" width="13.0"/>
    <col customWidth="1" min="19" max="19" width="20.0"/>
    <col customWidth="1" min="20" max="21" width="16.0"/>
    <col customWidth="1" min="22" max="23" width="12.0"/>
    <col customWidth="1" min="24" max="24" width="16.0"/>
    <col customWidth="1" min="25" max="26" width="18.0"/>
    <col customWidth="1" min="27" max="28" width="13.0"/>
    <col customWidth="1" min="29" max="29" width="20.0"/>
    <col customWidth="1" min="30" max="31" width="16.0"/>
    <col customWidth="1" min="32" max="33" width="12.0"/>
    <col customWidth="1" min="34" max="36" width="16.0"/>
    <col customWidth="1" min="37" max="38" width="12.0"/>
    <col customWidth="1" min="39" max="39" width="16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3" ht="15.0" customHeight="1">
      <c r="A3" s="4" t="s">
        <v>1</v>
      </c>
      <c r="B3" s="5">
        <f>Panduan!B4</f>
        <v>0.8</v>
      </c>
      <c r="D3" s="4" t="s">
        <v>2</v>
      </c>
      <c r="E3" s="5">
        <f>Panduan!B5</f>
        <v>0.2</v>
      </c>
      <c r="G3" s="4" t="s">
        <v>3</v>
      </c>
      <c r="H3" s="6" t="s">
        <v>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</row>
    <row r="4" ht="21.75" customHeight="1">
      <c r="A4" s="9" t="s">
        <v>5</v>
      </c>
      <c r="B4" s="7"/>
      <c r="C4" s="8"/>
      <c r="D4" s="9" t="s">
        <v>6</v>
      </c>
      <c r="E4" s="7"/>
      <c r="F4" s="7"/>
      <c r="G4" s="7"/>
      <c r="H4" s="8"/>
      <c r="I4" s="10" t="s">
        <v>7</v>
      </c>
      <c r="J4" s="11" t="s">
        <v>8</v>
      </c>
      <c r="K4" s="7"/>
      <c r="L4" s="7"/>
      <c r="M4" s="7"/>
      <c r="N4" s="8"/>
      <c r="O4" s="12" t="s">
        <v>9</v>
      </c>
      <c r="P4" s="7"/>
      <c r="Q4" s="7"/>
      <c r="R4" s="7"/>
      <c r="S4" s="8"/>
      <c r="T4" s="13" t="s">
        <v>10</v>
      </c>
      <c r="U4" s="7"/>
      <c r="V4" s="7"/>
      <c r="W4" s="7"/>
      <c r="X4" s="8"/>
      <c r="Y4" s="14" t="s">
        <v>11</v>
      </c>
      <c r="Z4" s="7"/>
      <c r="AA4" s="7"/>
      <c r="AB4" s="7"/>
      <c r="AC4" s="8"/>
      <c r="AD4" s="15" t="s">
        <v>12</v>
      </c>
      <c r="AE4" s="7"/>
      <c r="AF4" s="7"/>
      <c r="AG4" s="7"/>
      <c r="AH4" s="8"/>
      <c r="AI4" s="16" t="s">
        <v>13</v>
      </c>
      <c r="AJ4" s="7"/>
      <c r="AK4" s="7"/>
      <c r="AL4" s="7"/>
      <c r="AM4" s="8"/>
    </row>
    <row r="5" ht="42.0" customHeight="1">
      <c r="A5" s="17" t="s">
        <v>14</v>
      </c>
      <c r="B5" s="17" t="s">
        <v>15</v>
      </c>
      <c r="C5" s="17" t="s">
        <v>16</v>
      </c>
      <c r="D5" s="17" t="s">
        <v>17</v>
      </c>
      <c r="E5" s="17" t="s">
        <v>18</v>
      </c>
      <c r="F5" s="17" t="s">
        <v>19</v>
      </c>
      <c r="G5" s="17" t="s">
        <v>20</v>
      </c>
      <c r="H5" s="17" t="s">
        <v>21</v>
      </c>
      <c r="I5" s="17" t="s">
        <v>22</v>
      </c>
      <c r="J5" s="18" t="s">
        <v>23</v>
      </c>
      <c r="K5" s="18" t="s">
        <v>24</v>
      </c>
      <c r="L5" s="18" t="s">
        <v>25</v>
      </c>
      <c r="M5" s="18" t="s">
        <v>26</v>
      </c>
      <c r="N5" s="18" t="s">
        <v>27</v>
      </c>
      <c r="O5" s="19" t="s">
        <v>28</v>
      </c>
      <c r="P5" s="19" t="s">
        <v>29</v>
      </c>
      <c r="Q5" s="19" t="s">
        <v>30</v>
      </c>
      <c r="R5" s="19" t="s">
        <v>31</v>
      </c>
      <c r="S5" s="19" t="s">
        <v>32</v>
      </c>
      <c r="T5" s="20" t="s">
        <v>33</v>
      </c>
      <c r="U5" s="20" t="s">
        <v>34</v>
      </c>
      <c r="V5" s="20" t="s">
        <v>35</v>
      </c>
      <c r="W5" s="20" t="s">
        <v>36</v>
      </c>
      <c r="X5" s="20" t="s">
        <v>37</v>
      </c>
      <c r="Y5" s="21" t="s">
        <v>38</v>
      </c>
      <c r="Z5" s="21" t="s">
        <v>39</v>
      </c>
      <c r="AA5" s="21" t="s">
        <v>40</v>
      </c>
      <c r="AB5" s="21" t="s">
        <v>41</v>
      </c>
      <c r="AC5" s="21" t="s">
        <v>42</v>
      </c>
      <c r="AD5" s="22" t="s">
        <v>43</v>
      </c>
      <c r="AE5" s="22" t="s">
        <v>44</v>
      </c>
      <c r="AF5" s="22" t="s">
        <v>45</v>
      </c>
      <c r="AG5" s="22" t="s">
        <v>46</v>
      </c>
      <c r="AH5" s="22" t="s">
        <v>47</v>
      </c>
      <c r="AI5" s="17" t="s">
        <v>48</v>
      </c>
      <c r="AJ5" s="17" t="s">
        <v>49</v>
      </c>
      <c r="AK5" s="17" t="s">
        <v>50</v>
      </c>
      <c r="AL5" s="17" t="s">
        <v>51</v>
      </c>
      <c r="AM5" s="17" t="s">
        <v>52</v>
      </c>
    </row>
    <row r="6">
      <c r="A6" s="23">
        <f t="shared" ref="A6:A305" si="2">IF(B6="","",ROW()-6)</f>
        <v>0</v>
      </c>
      <c r="B6" s="24">
        <v>46121.0</v>
      </c>
      <c r="C6" s="23" t="str">
        <f t="shared" ref="C6:C305" si="3">IF(B6="","",CHOOSE(WEEKDAY(B6),"Minggu","Senin","Selasa","Rabu","Kamis","Jumat","Sabtu"))</f>
        <v>Kamis</v>
      </c>
      <c r="D6" s="25" t="s">
        <v>53</v>
      </c>
      <c r="E6" s="25" t="s">
        <v>54</v>
      </c>
      <c r="F6" s="25" t="s">
        <v>55</v>
      </c>
      <c r="G6" s="25" t="s">
        <v>56</v>
      </c>
      <c r="H6" s="25" t="s">
        <v>57</v>
      </c>
      <c r="I6" s="26">
        <v>3375.0</v>
      </c>
      <c r="J6" s="27">
        <v>210.0</v>
      </c>
      <c r="K6" s="27">
        <v>30.0</v>
      </c>
      <c r="L6" s="28">
        <f t="shared" ref="L6:L305" si="4">IF(OR(J6="",K6="",J6=0),"",K6/J6)</f>
        <v>0.1428571429</v>
      </c>
      <c r="M6" s="28">
        <f t="shared" ref="M6:M305" si="5">IF(L6="","",1-L6)</f>
        <v>0.8571428571</v>
      </c>
      <c r="N6" s="23" t="str">
        <f>IF(M6="","",IF(M6&gt;=Panduan!$B$4,"Terserap","Perlu Evaluasi"))</f>
        <v>Terserap</v>
      </c>
      <c r="O6" s="27">
        <v>150.0</v>
      </c>
      <c r="P6" s="27">
        <v>20.0</v>
      </c>
      <c r="Q6" s="28">
        <f t="shared" ref="Q6:Q305" si="6">IF(OR(O6="",P6="",O6=0),"",P6/O6)</f>
        <v>0.1333333333</v>
      </c>
      <c r="R6" s="28">
        <f t="shared" ref="R6:R305" si="7">IF(Q6="","",1-Q6)</f>
        <v>0.8666666667</v>
      </c>
      <c r="S6" s="23" t="str">
        <f>IF(R6="","",IF(R6&gt;=Panduan!$B$4,"Terserap","Perlu Evaluasi"))</f>
        <v>Terserap</v>
      </c>
      <c r="T6" s="27">
        <v>200.0</v>
      </c>
      <c r="U6" s="27">
        <v>40.0</v>
      </c>
      <c r="V6" s="28">
        <f t="shared" ref="V6:V305" si="8">IF(OR(T6="",U6="",T6=0),"",U6/T6)</f>
        <v>0.2</v>
      </c>
      <c r="W6" s="28">
        <f t="shared" ref="W6:W305" si="9">IF(V6="","",1-V6)</f>
        <v>0.8</v>
      </c>
      <c r="X6" s="23" t="str">
        <f>IF(W6="","",IF(W6&gt;=Panduan!$B$4,"Terserap","Perlu Evaluasi"))</f>
        <v>Terserap</v>
      </c>
      <c r="Y6" s="27">
        <v>83.0</v>
      </c>
      <c r="Z6" s="27">
        <v>2.0</v>
      </c>
      <c r="AA6" s="28">
        <f t="shared" ref="AA6:AA305" si="10">IF(OR(Y6="",Z6="",Y6=0),"",Z6/Y6)</f>
        <v>0.02409638554</v>
      </c>
      <c r="AB6" s="28">
        <f t="shared" ref="AB6:AB305" si="11">IF(AA6="","",1-AA6)</f>
        <v>0.9759036145</v>
      </c>
      <c r="AC6" s="23" t="str">
        <f>IF(AB6="","",IF(AB6&gt;=Panduan!$B$4,"Terserap","Perlu Evaluasi"))</f>
        <v>Terserap</v>
      </c>
      <c r="AD6" s="27">
        <v>200.0</v>
      </c>
      <c r="AE6" s="27">
        <v>0.0</v>
      </c>
      <c r="AF6" s="28">
        <f t="shared" ref="AF6:AF305" si="12">IF(OR(AD6="",AE6="",AD6=0),"",AE6/AD6)</f>
        <v>0</v>
      </c>
      <c r="AG6" s="28">
        <f t="shared" ref="AG6:AG305" si="13">IF(AF6="","",1-AF6)</f>
        <v>1</v>
      </c>
      <c r="AH6" s="23" t="str">
        <f>IF(AG6="","",IF(AG6&gt;=Panduan!$B$4,"Terserap","Perlu Evaluasi"))</f>
        <v>Terserap</v>
      </c>
      <c r="AI6" s="29">
        <f t="shared" ref="AI6:AJ6" si="1">IF(COUNTA(J6,O6,T6,Y6,AD6)=0,"",SUM(J6,O6,T6,Y6,AD6))</f>
        <v>843</v>
      </c>
      <c r="AJ6" s="29">
        <f t="shared" si="1"/>
        <v>92</v>
      </c>
      <c r="AK6" s="28">
        <f t="shared" ref="AK6:AK305" si="15">IF(OR(AI6="",AJ6="",AI6=0),"",AJ6/AI6)</f>
        <v>0.1091340451</v>
      </c>
      <c r="AL6" s="28">
        <f t="shared" ref="AL6:AL305" si="16">IF(AK6="","",1-AK6)</f>
        <v>0.8908659549</v>
      </c>
      <c r="AM6" s="23" t="str">
        <f>IF(AL6="","",IF(AL6&gt;=Panduan!$B$4,"Terserap","Perlu Evaluasi"))</f>
        <v>Terserap</v>
      </c>
    </row>
    <row r="7">
      <c r="A7" s="23">
        <f t="shared" si="2"/>
        <v>1</v>
      </c>
      <c r="B7" s="24">
        <v>46122.0</v>
      </c>
      <c r="C7" s="23" t="str">
        <f t="shared" si="3"/>
        <v>Jumat</v>
      </c>
      <c r="D7" s="25" t="s">
        <v>53</v>
      </c>
      <c r="E7" s="25" t="s">
        <v>54</v>
      </c>
      <c r="F7" s="25" t="s">
        <v>55</v>
      </c>
      <c r="G7" s="25" t="s">
        <v>56</v>
      </c>
      <c r="H7" s="25" t="s">
        <v>57</v>
      </c>
      <c r="I7" s="26">
        <v>3375.0</v>
      </c>
      <c r="J7" s="27">
        <v>210.0</v>
      </c>
      <c r="K7" s="27">
        <v>30.0</v>
      </c>
      <c r="L7" s="28">
        <f t="shared" si="4"/>
        <v>0.1428571429</v>
      </c>
      <c r="M7" s="28">
        <f t="shared" si="5"/>
        <v>0.8571428571</v>
      </c>
      <c r="N7" s="23" t="str">
        <f>IF(M7="","",IF(M7&gt;=Panduan!$B$4,"Terserap","Perlu Evaluasi"))</f>
        <v>Terserap</v>
      </c>
      <c r="O7" s="30"/>
      <c r="P7" s="30"/>
      <c r="Q7" s="28" t="str">
        <f t="shared" si="6"/>
        <v/>
      </c>
      <c r="R7" s="28" t="str">
        <f t="shared" si="7"/>
        <v/>
      </c>
      <c r="S7" s="23" t="str">
        <f>IF(R7="","",IF(R7&gt;=Panduan!$B$4,"Terserap","Perlu Evaluasi"))</f>
        <v/>
      </c>
      <c r="T7" s="30"/>
      <c r="U7" s="30"/>
      <c r="V7" s="28" t="str">
        <f t="shared" si="8"/>
        <v/>
      </c>
      <c r="W7" s="28" t="str">
        <f t="shared" si="9"/>
        <v/>
      </c>
      <c r="X7" s="23" t="str">
        <f>IF(W7="","",IF(W7&gt;=Panduan!$B$4,"Terserap","Perlu Evaluasi"))</f>
        <v/>
      </c>
      <c r="Y7" s="30"/>
      <c r="Z7" s="30"/>
      <c r="AA7" s="28" t="str">
        <f t="shared" si="10"/>
        <v/>
      </c>
      <c r="AB7" s="28" t="str">
        <f t="shared" si="11"/>
        <v/>
      </c>
      <c r="AC7" s="23" t="str">
        <f>IF(AB7="","",IF(AB7&gt;=Panduan!$B$4,"Terserap","Perlu Evaluasi"))</f>
        <v/>
      </c>
      <c r="AD7" s="30"/>
      <c r="AE7" s="30"/>
      <c r="AF7" s="28" t="str">
        <f t="shared" si="12"/>
        <v/>
      </c>
      <c r="AG7" s="28" t="str">
        <f t="shared" si="13"/>
        <v/>
      </c>
      <c r="AH7" s="23" t="str">
        <f>IF(AG7="","",IF(AG7&gt;=Panduan!$B$4,"Terserap","Perlu Evaluasi"))</f>
        <v/>
      </c>
      <c r="AI7" s="29">
        <f t="shared" ref="AI7:AJ7" si="14">IF(COUNTA(J7,O7,T7,Y7,AD7)=0,"",SUM(J7,O7,T7,Y7,AD7))</f>
        <v>210</v>
      </c>
      <c r="AJ7" s="29">
        <f t="shared" si="14"/>
        <v>30</v>
      </c>
      <c r="AK7" s="28">
        <f t="shared" si="15"/>
        <v>0.1428571429</v>
      </c>
      <c r="AL7" s="28">
        <f t="shared" si="16"/>
        <v>0.8571428571</v>
      </c>
      <c r="AM7" s="23" t="str">
        <f>IF(AL7="","",IF(AL7&gt;=Panduan!$B$4,"Terserap","Perlu Evaluasi"))</f>
        <v>Terserap</v>
      </c>
    </row>
    <row r="8">
      <c r="A8" s="23">
        <f t="shared" si="2"/>
        <v>2</v>
      </c>
      <c r="B8" s="24">
        <v>46123.0</v>
      </c>
      <c r="C8" s="23" t="str">
        <f t="shared" si="3"/>
        <v>Sabtu</v>
      </c>
      <c r="D8" s="31"/>
      <c r="E8" s="31"/>
      <c r="F8" s="31"/>
      <c r="G8" s="31"/>
      <c r="H8" s="31"/>
      <c r="I8" s="32"/>
      <c r="J8" s="30"/>
      <c r="K8" s="30"/>
      <c r="L8" s="28" t="str">
        <f t="shared" si="4"/>
        <v/>
      </c>
      <c r="M8" s="28" t="str">
        <f t="shared" si="5"/>
        <v/>
      </c>
      <c r="N8" s="23" t="str">
        <f>IF(M8="","",IF(M8&gt;=Panduan!$B$4,"Terserap","Perlu Evaluasi"))</f>
        <v/>
      </c>
      <c r="O8" s="30"/>
      <c r="P8" s="30"/>
      <c r="Q8" s="28" t="str">
        <f t="shared" si="6"/>
        <v/>
      </c>
      <c r="R8" s="28" t="str">
        <f t="shared" si="7"/>
        <v/>
      </c>
      <c r="S8" s="23" t="str">
        <f>IF(R8="","",IF(R8&gt;=Panduan!$B$4,"Terserap","Perlu Evaluasi"))</f>
        <v/>
      </c>
      <c r="T8" s="30"/>
      <c r="U8" s="30"/>
      <c r="V8" s="28" t="str">
        <f t="shared" si="8"/>
        <v/>
      </c>
      <c r="W8" s="28" t="str">
        <f t="shared" si="9"/>
        <v/>
      </c>
      <c r="X8" s="23" t="str">
        <f>IF(W8="","",IF(W8&gt;=Panduan!$B$4,"Terserap","Perlu Evaluasi"))</f>
        <v/>
      </c>
      <c r="Y8" s="30"/>
      <c r="Z8" s="30"/>
      <c r="AA8" s="28" t="str">
        <f t="shared" si="10"/>
        <v/>
      </c>
      <c r="AB8" s="28" t="str">
        <f t="shared" si="11"/>
        <v/>
      </c>
      <c r="AC8" s="23" t="str">
        <f>IF(AB8="","",IF(AB8&gt;=Panduan!$B$4,"Terserap","Perlu Evaluasi"))</f>
        <v/>
      </c>
      <c r="AD8" s="30"/>
      <c r="AE8" s="30"/>
      <c r="AF8" s="28" t="str">
        <f t="shared" si="12"/>
        <v/>
      </c>
      <c r="AG8" s="28" t="str">
        <f t="shared" si="13"/>
        <v/>
      </c>
      <c r="AH8" s="23" t="str">
        <f>IF(AG8="","",IF(AG8&gt;=Panduan!$B$4,"Terserap","Perlu Evaluasi"))</f>
        <v/>
      </c>
      <c r="AI8" s="29" t="str">
        <f t="shared" ref="AI8:AJ8" si="17">IF(COUNTA(J8,O8,T8,Y8,AD8)=0,"",SUM(J8,O8,T8,Y8,AD8))</f>
        <v/>
      </c>
      <c r="AJ8" s="29" t="str">
        <f t="shared" si="17"/>
        <v/>
      </c>
      <c r="AK8" s="28" t="str">
        <f t="shared" si="15"/>
        <v/>
      </c>
      <c r="AL8" s="28" t="str">
        <f t="shared" si="16"/>
        <v/>
      </c>
      <c r="AM8" s="23" t="str">
        <f>IF(AL8="","",IF(AL8&gt;=Panduan!$B$4,"Terserap","Perlu Evaluasi"))</f>
        <v/>
      </c>
    </row>
    <row r="9">
      <c r="A9" s="23">
        <f t="shared" si="2"/>
        <v>3</v>
      </c>
      <c r="B9" s="24">
        <v>46125.0</v>
      </c>
      <c r="C9" s="23" t="str">
        <f t="shared" si="3"/>
        <v>Senin</v>
      </c>
      <c r="D9" s="25"/>
      <c r="E9" s="25"/>
      <c r="F9" s="25"/>
      <c r="G9" s="25"/>
      <c r="H9" s="25"/>
      <c r="I9" s="26">
        <v>3377.0</v>
      </c>
      <c r="J9" s="27">
        <v>220.0</v>
      </c>
      <c r="K9" s="27">
        <v>30.0</v>
      </c>
      <c r="L9" s="28">
        <f t="shared" si="4"/>
        <v>0.1363636364</v>
      </c>
      <c r="M9" s="28">
        <f t="shared" si="5"/>
        <v>0.8636363636</v>
      </c>
      <c r="N9" s="23" t="str">
        <f>IF(M9="","",IF(M9&gt;=Panduan!$B$4,"Terserap","Perlu Evaluasi"))</f>
        <v>Terserap</v>
      </c>
      <c r="O9" s="30"/>
      <c r="P9" s="30"/>
      <c r="Q9" s="28" t="str">
        <f t="shared" si="6"/>
        <v/>
      </c>
      <c r="R9" s="28" t="str">
        <f t="shared" si="7"/>
        <v/>
      </c>
      <c r="S9" s="23" t="str">
        <f>IF(R9="","",IF(R9&gt;=Panduan!$B$4,"Terserap","Perlu Evaluasi"))</f>
        <v/>
      </c>
      <c r="T9" s="30"/>
      <c r="U9" s="30"/>
      <c r="V9" s="28" t="str">
        <f t="shared" si="8"/>
        <v/>
      </c>
      <c r="W9" s="28" t="str">
        <f t="shared" si="9"/>
        <v/>
      </c>
      <c r="X9" s="23" t="str">
        <f>IF(W9="","",IF(W9&gt;=Panduan!$B$4,"Terserap","Perlu Evaluasi"))</f>
        <v/>
      </c>
      <c r="Y9" s="30"/>
      <c r="Z9" s="30"/>
      <c r="AA9" s="28" t="str">
        <f t="shared" si="10"/>
        <v/>
      </c>
      <c r="AB9" s="28" t="str">
        <f t="shared" si="11"/>
        <v/>
      </c>
      <c r="AC9" s="23" t="str">
        <f>IF(AB9="","",IF(AB9&gt;=Panduan!$B$4,"Terserap","Perlu Evaluasi"))</f>
        <v/>
      </c>
      <c r="AD9" s="30"/>
      <c r="AE9" s="30"/>
      <c r="AF9" s="28" t="str">
        <f t="shared" si="12"/>
        <v/>
      </c>
      <c r="AG9" s="28" t="str">
        <f t="shared" si="13"/>
        <v/>
      </c>
      <c r="AH9" s="23" t="str">
        <f>IF(AG9="","",IF(AG9&gt;=Panduan!$B$4,"Terserap","Perlu Evaluasi"))</f>
        <v/>
      </c>
      <c r="AI9" s="29">
        <f t="shared" ref="AI9:AJ9" si="18">IF(COUNTA(J9,O9,T9,Y9,AD9)=0,"",SUM(J9,O9,T9,Y9,AD9))</f>
        <v>220</v>
      </c>
      <c r="AJ9" s="29">
        <f t="shared" si="18"/>
        <v>30</v>
      </c>
      <c r="AK9" s="28">
        <f t="shared" si="15"/>
        <v>0.1363636364</v>
      </c>
      <c r="AL9" s="28">
        <f t="shared" si="16"/>
        <v>0.8636363636</v>
      </c>
      <c r="AM9" s="23" t="str">
        <f>IF(AL9="","",IF(AL9&gt;=Panduan!$B$4,"Terserap","Perlu Evaluasi"))</f>
        <v>Terserap</v>
      </c>
    </row>
    <row r="10">
      <c r="A10" s="23">
        <f t="shared" si="2"/>
        <v>4</v>
      </c>
      <c r="B10" s="24">
        <v>46121.0</v>
      </c>
      <c r="C10" s="23" t="str">
        <f t="shared" si="3"/>
        <v>Kamis</v>
      </c>
      <c r="D10" s="31"/>
      <c r="E10" s="31"/>
      <c r="F10" s="31"/>
      <c r="G10" s="31"/>
      <c r="H10" s="31"/>
      <c r="I10" s="32"/>
      <c r="J10" s="30"/>
      <c r="K10" s="30"/>
      <c r="L10" s="28" t="str">
        <f t="shared" si="4"/>
        <v/>
      </c>
      <c r="M10" s="28" t="str">
        <f t="shared" si="5"/>
        <v/>
      </c>
      <c r="N10" s="23" t="str">
        <f>IF(M10="","",IF(M10&gt;=Panduan!$B$4,"Terserap","Perlu Evaluasi"))</f>
        <v/>
      </c>
      <c r="O10" s="30"/>
      <c r="P10" s="30"/>
      <c r="Q10" s="28" t="str">
        <f t="shared" si="6"/>
        <v/>
      </c>
      <c r="R10" s="28" t="str">
        <f t="shared" si="7"/>
        <v/>
      </c>
      <c r="S10" s="23" t="str">
        <f>IF(R10="","",IF(R10&gt;=Panduan!$B$4,"Terserap","Perlu Evaluasi"))</f>
        <v/>
      </c>
      <c r="T10" s="30"/>
      <c r="U10" s="30"/>
      <c r="V10" s="28" t="str">
        <f t="shared" si="8"/>
        <v/>
      </c>
      <c r="W10" s="28" t="str">
        <f t="shared" si="9"/>
        <v/>
      </c>
      <c r="X10" s="23" t="str">
        <f>IF(W10="","",IF(W10&gt;=Panduan!$B$4,"Terserap","Perlu Evaluasi"))</f>
        <v/>
      </c>
      <c r="Y10" s="30"/>
      <c r="Z10" s="30"/>
      <c r="AA10" s="28" t="str">
        <f t="shared" si="10"/>
        <v/>
      </c>
      <c r="AB10" s="28" t="str">
        <f t="shared" si="11"/>
        <v/>
      </c>
      <c r="AC10" s="23" t="str">
        <f>IF(AB10="","",IF(AB10&gt;=Panduan!$B$4,"Terserap","Perlu Evaluasi"))</f>
        <v/>
      </c>
      <c r="AD10" s="30"/>
      <c r="AE10" s="30"/>
      <c r="AF10" s="28" t="str">
        <f t="shared" si="12"/>
        <v/>
      </c>
      <c r="AG10" s="28" t="str">
        <f t="shared" si="13"/>
        <v/>
      </c>
      <c r="AH10" s="23" t="str">
        <f>IF(AG10="","",IF(AG10&gt;=Panduan!$B$4,"Terserap","Perlu Evaluasi"))</f>
        <v/>
      </c>
      <c r="AI10" s="29" t="str">
        <f t="shared" ref="AI10:AJ10" si="19">IF(COUNTA(J10,O10,T10,Y10,AD10)=0,"",SUM(J10,O10,T10,Y10,AD10))</f>
        <v/>
      </c>
      <c r="AJ10" s="29" t="str">
        <f t="shared" si="19"/>
        <v/>
      </c>
      <c r="AK10" s="28" t="str">
        <f t="shared" si="15"/>
        <v/>
      </c>
      <c r="AL10" s="28" t="str">
        <f t="shared" si="16"/>
        <v/>
      </c>
      <c r="AM10" s="23" t="str">
        <f>IF(AL10="","",IF(AL10&gt;=Panduan!$B$4,"Terserap","Perlu Evaluasi"))</f>
        <v/>
      </c>
    </row>
    <row r="11">
      <c r="A11" s="23" t="str">
        <f t="shared" si="2"/>
        <v/>
      </c>
      <c r="B11" s="33"/>
      <c r="C11" s="23" t="str">
        <f t="shared" si="3"/>
        <v/>
      </c>
      <c r="D11" s="31"/>
      <c r="E11" s="31"/>
      <c r="F11" s="31"/>
      <c r="G11" s="31"/>
      <c r="H11" s="31"/>
      <c r="I11" s="32"/>
      <c r="J11" s="30"/>
      <c r="K11" s="30"/>
      <c r="L11" s="28" t="str">
        <f t="shared" si="4"/>
        <v/>
      </c>
      <c r="M11" s="28" t="str">
        <f t="shared" si="5"/>
        <v/>
      </c>
      <c r="N11" s="23" t="str">
        <f>IF(M11="","",IF(M11&gt;=Panduan!$B$4,"Terserap","Perlu Evaluasi"))</f>
        <v/>
      </c>
      <c r="O11" s="30"/>
      <c r="P11" s="30"/>
      <c r="Q11" s="28" t="str">
        <f t="shared" si="6"/>
        <v/>
      </c>
      <c r="R11" s="28" t="str">
        <f t="shared" si="7"/>
        <v/>
      </c>
      <c r="S11" s="23" t="str">
        <f>IF(R11="","",IF(R11&gt;=Panduan!$B$4,"Terserap","Perlu Evaluasi"))</f>
        <v/>
      </c>
      <c r="T11" s="30"/>
      <c r="U11" s="30"/>
      <c r="V11" s="28" t="str">
        <f t="shared" si="8"/>
        <v/>
      </c>
      <c r="W11" s="28" t="str">
        <f t="shared" si="9"/>
        <v/>
      </c>
      <c r="X11" s="23" t="str">
        <f>IF(W11="","",IF(W11&gt;=Panduan!$B$4,"Terserap","Perlu Evaluasi"))</f>
        <v/>
      </c>
      <c r="Y11" s="30"/>
      <c r="Z11" s="30"/>
      <c r="AA11" s="28" t="str">
        <f t="shared" si="10"/>
        <v/>
      </c>
      <c r="AB11" s="28" t="str">
        <f t="shared" si="11"/>
        <v/>
      </c>
      <c r="AC11" s="23" t="str">
        <f>IF(AB11="","",IF(AB11&gt;=Panduan!$B$4,"Terserap","Perlu Evaluasi"))</f>
        <v/>
      </c>
      <c r="AD11" s="30"/>
      <c r="AE11" s="30"/>
      <c r="AF11" s="28" t="str">
        <f t="shared" si="12"/>
        <v/>
      </c>
      <c r="AG11" s="28" t="str">
        <f t="shared" si="13"/>
        <v/>
      </c>
      <c r="AH11" s="23" t="str">
        <f>IF(AG11="","",IF(AG11&gt;=Panduan!$B$4,"Terserap","Perlu Evaluasi"))</f>
        <v/>
      </c>
      <c r="AI11" s="29" t="str">
        <f t="shared" ref="AI11:AJ11" si="20">IF(COUNTA(J11,O11,T11,Y11,AD11)=0,"",SUM(J11,O11,T11,Y11,AD11))</f>
        <v/>
      </c>
      <c r="AJ11" s="29" t="str">
        <f t="shared" si="20"/>
        <v/>
      </c>
      <c r="AK11" s="28" t="str">
        <f t="shared" si="15"/>
        <v/>
      </c>
      <c r="AL11" s="28" t="str">
        <f t="shared" si="16"/>
        <v/>
      </c>
      <c r="AM11" s="23" t="str">
        <f>IF(AL11="","",IF(AL11&gt;=Panduan!$B$4,"Terserap","Perlu Evaluasi"))</f>
        <v/>
      </c>
    </row>
    <row r="12">
      <c r="A12" s="23" t="str">
        <f t="shared" si="2"/>
        <v/>
      </c>
      <c r="B12" s="33"/>
      <c r="C12" s="23" t="str">
        <f t="shared" si="3"/>
        <v/>
      </c>
      <c r="D12" s="31"/>
      <c r="E12" s="31"/>
      <c r="F12" s="31"/>
      <c r="G12" s="31"/>
      <c r="H12" s="31"/>
      <c r="I12" s="32"/>
      <c r="J12" s="30"/>
      <c r="K12" s="30"/>
      <c r="L12" s="28" t="str">
        <f t="shared" si="4"/>
        <v/>
      </c>
      <c r="M12" s="28" t="str">
        <f t="shared" si="5"/>
        <v/>
      </c>
      <c r="N12" s="23" t="str">
        <f>IF(M12="","",IF(M12&gt;=Panduan!$B$4,"Terserap","Perlu Evaluasi"))</f>
        <v/>
      </c>
      <c r="O12" s="30"/>
      <c r="P12" s="30"/>
      <c r="Q12" s="28" t="str">
        <f t="shared" si="6"/>
        <v/>
      </c>
      <c r="R12" s="28" t="str">
        <f t="shared" si="7"/>
        <v/>
      </c>
      <c r="S12" s="23" t="str">
        <f>IF(R12="","",IF(R12&gt;=Panduan!$B$4,"Terserap","Perlu Evaluasi"))</f>
        <v/>
      </c>
      <c r="T12" s="30"/>
      <c r="U12" s="30"/>
      <c r="V12" s="28" t="str">
        <f t="shared" si="8"/>
        <v/>
      </c>
      <c r="W12" s="28" t="str">
        <f t="shared" si="9"/>
        <v/>
      </c>
      <c r="X12" s="23" t="str">
        <f>IF(W12="","",IF(W12&gt;=Panduan!$B$4,"Terserap","Perlu Evaluasi"))</f>
        <v/>
      </c>
      <c r="Y12" s="30"/>
      <c r="Z12" s="30"/>
      <c r="AA12" s="28" t="str">
        <f t="shared" si="10"/>
        <v/>
      </c>
      <c r="AB12" s="28" t="str">
        <f t="shared" si="11"/>
        <v/>
      </c>
      <c r="AC12" s="23" t="str">
        <f>IF(AB12="","",IF(AB12&gt;=Panduan!$B$4,"Terserap","Perlu Evaluasi"))</f>
        <v/>
      </c>
      <c r="AD12" s="30"/>
      <c r="AE12" s="30"/>
      <c r="AF12" s="28" t="str">
        <f t="shared" si="12"/>
        <v/>
      </c>
      <c r="AG12" s="28" t="str">
        <f t="shared" si="13"/>
        <v/>
      </c>
      <c r="AH12" s="23" t="str">
        <f>IF(AG12="","",IF(AG12&gt;=Panduan!$B$4,"Terserap","Perlu Evaluasi"))</f>
        <v/>
      </c>
      <c r="AI12" s="29" t="str">
        <f t="shared" ref="AI12:AJ12" si="21">IF(COUNTA(J12,O12,T12,Y12,AD12)=0,"",SUM(J12,O12,T12,Y12,AD12))</f>
        <v/>
      </c>
      <c r="AJ12" s="29" t="str">
        <f t="shared" si="21"/>
        <v/>
      </c>
      <c r="AK12" s="28" t="str">
        <f t="shared" si="15"/>
        <v/>
      </c>
      <c r="AL12" s="28" t="str">
        <f t="shared" si="16"/>
        <v/>
      </c>
      <c r="AM12" s="23" t="str">
        <f>IF(AL12="","",IF(AL12&gt;=Panduan!$B$4,"Terserap","Perlu Evaluasi"))</f>
        <v/>
      </c>
    </row>
    <row r="13">
      <c r="A13" s="23" t="str">
        <f t="shared" si="2"/>
        <v/>
      </c>
      <c r="B13" s="33"/>
      <c r="C13" s="23" t="str">
        <f t="shared" si="3"/>
        <v/>
      </c>
      <c r="D13" s="31"/>
      <c r="E13" s="31"/>
      <c r="F13" s="31"/>
      <c r="G13" s="31"/>
      <c r="H13" s="31"/>
      <c r="I13" s="32"/>
      <c r="J13" s="30"/>
      <c r="K13" s="30"/>
      <c r="L13" s="28" t="str">
        <f t="shared" si="4"/>
        <v/>
      </c>
      <c r="M13" s="28" t="str">
        <f t="shared" si="5"/>
        <v/>
      </c>
      <c r="N13" s="23" t="str">
        <f>IF(M13="","",IF(M13&gt;=Panduan!$B$4,"Terserap","Perlu Evaluasi"))</f>
        <v/>
      </c>
      <c r="O13" s="30"/>
      <c r="P13" s="30"/>
      <c r="Q13" s="28" t="str">
        <f t="shared" si="6"/>
        <v/>
      </c>
      <c r="R13" s="28" t="str">
        <f t="shared" si="7"/>
        <v/>
      </c>
      <c r="S13" s="23" t="str">
        <f>IF(R13="","",IF(R13&gt;=Panduan!$B$4,"Terserap","Perlu Evaluasi"))</f>
        <v/>
      </c>
      <c r="T13" s="30"/>
      <c r="U13" s="30"/>
      <c r="V13" s="28" t="str">
        <f t="shared" si="8"/>
        <v/>
      </c>
      <c r="W13" s="28" t="str">
        <f t="shared" si="9"/>
        <v/>
      </c>
      <c r="X13" s="23" t="str">
        <f>IF(W13="","",IF(W13&gt;=Panduan!$B$4,"Terserap","Perlu Evaluasi"))</f>
        <v/>
      </c>
      <c r="Y13" s="30"/>
      <c r="Z13" s="30"/>
      <c r="AA13" s="28" t="str">
        <f t="shared" si="10"/>
        <v/>
      </c>
      <c r="AB13" s="28" t="str">
        <f t="shared" si="11"/>
        <v/>
      </c>
      <c r="AC13" s="23" t="str">
        <f>IF(AB13="","",IF(AB13&gt;=Panduan!$B$4,"Terserap","Perlu Evaluasi"))</f>
        <v/>
      </c>
      <c r="AD13" s="30"/>
      <c r="AE13" s="30"/>
      <c r="AF13" s="28" t="str">
        <f t="shared" si="12"/>
        <v/>
      </c>
      <c r="AG13" s="28" t="str">
        <f t="shared" si="13"/>
        <v/>
      </c>
      <c r="AH13" s="23" t="str">
        <f>IF(AG13="","",IF(AG13&gt;=Panduan!$B$4,"Terserap","Perlu Evaluasi"))</f>
        <v/>
      </c>
      <c r="AI13" s="29" t="str">
        <f t="shared" ref="AI13:AJ13" si="22">IF(COUNTA(J13,O13,T13,Y13,AD13)=0,"",SUM(J13,O13,T13,Y13,AD13))</f>
        <v/>
      </c>
      <c r="AJ13" s="29" t="str">
        <f t="shared" si="22"/>
        <v/>
      </c>
      <c r="AK13" s="28" t="str">
        <f t="shared" si="15"/>
        <v/>
      </c>
      <c r="AL13" s="28" t="str">
        <f t="shared" si="16"/>
        <v/>
      </c>
      <c r="AM13" s="23" t="str">
        <f>IF(AL13="","",IF(AL13&gt;=Panduan!$B$4,"Terserap","Perlu Evaluasi"))</f>
        <v/>
      </c>
    </row>
    <row r="14">
      <c r="A14" s="23" t="str">
        <f t="shared" si="2"/>
        <v/>
      </c>
      <c r="B14" s="33"/>
      <c r="C14" s="23" t="str">
        <f t="shared" si="3"/>
        <v/>
      </c>
      <c r="D14" s="31"/>
      <c r="E14" s="31"/>
      <c r="F14" s="31"/>
      <c r="G14" s="31"/>
      <c r="H14" s="31"/>
      <c r="I14" s="32"/>
      <c r="J14" s="30"/>
      <c r="K14" s="30"/>
      <c r="L14" s="28" t="str">
        <f t="shared" si="4"/>
        <v/>
      </c>
      <c r="M14" s="28" t="str">
        <f t="shared" si="5"/>
        <v/>
      </c>
      <c r="N14" s="23" t="str">
        <f>IF(M14="","",IF(M14&gt;=Panduan!$B$4,"Terserap","Perlu Evaluasi"))</f>
        <v/>
      </c>
      <c r="O14" s="30"/>
      <c r="P14" s="30"/>
      <c r="Q14" s="28" t="str">
        <f t="shared" si="6"/>
        <v/>
      </c>
      <c r="R14" s="28" t="str">
        <f t="shared" si="7"/>
        <v/>
      </c>
      <c r="S14" s="23" t="str">
        <f>IF(R14="","",IF(R14&gt;=Panduan!$B$4,"Terserap","Perlu Evaluasi"))</f>
        <v/>
      </c>
      <c r="T14" s="30"/>
      <c r="U14" s="30"/>
      <c r="V14" s="28" t="str">
        <f t="shared" si="8"/>
        <v/>
      </c>
      <c r="W14" s="28" t="str">
        <f t="shared" si="9"/>
        <v/>
      </c>
      <c r="X14" s="23" t="str">
        <f>IF(W14="","",IF(W14&gt;=Panduan!$B$4,"Terserap","Perlu Evaluasi"))</f>
        <v/>
      </c>
      <c r="Y14" s="30"/>
      <c r="Z14" s="30"/>
      <c r="AA14" s="28" t="str">
        <f t="shared" si="10"/>
        <v/>
      </c>
      <c r="AB14" s="28" t="str">
        <f t="shared" si="11"/>
        <v/>
      </c>
      <c r="AC14" s="23" t="str">
        <f>IF(AB14="","",IF(AB14&gt;=Panduan!$B$4,"Terserap","Perlu Evaluasi"))</f>
        <v/>
      </c>
      <c r="AD14" s="30"/>
      <c r="AE14" s="30"/>
      <c r="AF14" s="28" t="str">
        <f t="shared" si="12"/>
        <v/>
      </c>
      <c r="AG14" s="28" t="str">
        <f t="shared" si="13"/>
        <v/>
      </c>
      <c r="AH14" s="23" t="str">
        <f>IF(AG14="","",IF(AG14&gt;=Panduan!$B$4,"Terserap","Perlu Evaluasi"))</f>
        <v/>
      </c>
      <c r="AI14" s="29" t="str">
        <f t="shared" ref="AI14:AJ14" si="23">IF(COUNTA(J14,O14,T14,Y14,AD14)=0,"",SUM(J14,O14,T14,Y14,AD14))</f>
        <v/>
      </c>
      <c r="AJ14" s="29" t="str">
        <f t="shared" si="23"/>
        <v/>
      </c>
      <c r="AK14" s="28" t="str">
        <f t="shared" si="15"/>
        <v/>
      </c>
      <c r="AL14" s="28" t="str">
        <f t="shared" si="16"/>
        <v/>
      </c>
      <c r="AM14" s="23" t="str">
        <f>IF(AL14="","",IF(AL14&gt;=Panduan!$B$4,"Terserap","Perlu Evaluasi"))</f>
        <v/>
      </c>
    </row>
    <row r="15">
      <c r="A15" s="23" t="str">
        <f t="shared" si="2"/>
        <v/>
      </c>
      <c r="B15" s="33"/>
      <c r="C15" s="23" t="str">
        <f t="shared" si="3"/>
        <v/>
      </c>
      <c r="D15" s="31"/>
      <c r="E15" s="31"/>
      <c r="F15" s="31"/>
      <c r="G15" s="31"/>
      <c r="H15" s="31"/>
      <c r="I15" s="32"/>
      <c r="J15" s="30"/>
      <c r="K15" s="30"/>
      <c r="L15" s="28" t="str">
        <f t="shared" si="4"/>
        <v/>
      </c>
      <c r="M15" s="28" t="str">
        <f t="shared" si="5"/>
        <v/>
      </c>
      <c r="N15" s="23" t="str">
        <f>IF(M15="","",IF(M15&gt;=Panduan!$B$4,"Terserap","Perlu Evaluasi"))</f>
        <v/>
      </c>
      <c r="O15" s="30"/>
      <c r="P15" s="30"/>
      <c r="Q15" s="28" t="str">
        <f t="shared" si="6"/>
        <v/>
      </c>
      <c r="R15" s="28" t="str">
        <f t="shared" si="7"/>
        <v/>
      </c>
      <c r="S15" s="23" t="str">
        <f>IF(R15="","",IF(R15&gt;=Panduan!$B$4,"Terserap","Perlu Evaluasi"))</f>
        <v/>
      </c>
      <c r="T15" s="30"/>
      <c r="U15" s="30"/>
      <c r="V15" s="28" t="str">
        <f t="shared" si="8"/>
        <v/>
      </c>
      <c r="W15" s="28" t="str">
        <f t="shared" si="9"/>
        <v/>
      </c>
      <c r="X15" s="23" t="str">
        <f>IF(W15="","",IF(W15&gt;=Panduan!$B$4,"Terserap","Perlu Evaluasi"))</f>
        <v/>
      </c>
      <c r="Y15" s="30"/>
      <c r="Z15" s="30"/>
      <c r="AA15" s="28" t="str">
        <f t="shared" si="10"/>
        <v/>
      </c>
      <c r="AB15" s="28" t="str">
        <f t="shared" si="11"/>
        <v/>
      </c>
      <c r="AC15" s="23" t="str">
        <f>IF(AB15="","",IF(AB15&gt;=Panduan!$B$4,"Terserap","Perlu Evaluasi"))</f>
        <v/>
      </c>
      <c r="AD15" s="30"/>
      <c r="AE15" s="30"/>
      <c r="AF15" s="28" t="str">
        <f t="shared" si="12"/>
        <v/>
      </c>
      <c r="AG15" s="28" t="str">
        <f t="shared" si="13"/>
        <v/>
      </c>
      <c r="AH15" s="23" t="str">
        <f>IF(AG15="","",IF(AG15&gt;=Panduan!$B$4,"Terserap","Perlu Evaluasi"))</f>
        <v/>
      </c>
      <c r="AI15" s="29" t="str">
        <f t="shared" ref="AI15:AJ15" si="24">IF(COUNTA(J15,O15,T15,Y15,AD15)=0,"",SUM(J15,O15,T15,Y15,AD15))</f>
        <v/>
      </c>
      <c r="AJ15" s="29" t="str">
        <f t="shared" si="24"/>
        <v/>
      </c>
      <c r="AK15" s="28" t="str">
        <f t="shared" si="15"/>
        <v/>
      </c>
      <c r="AL15" s="28" t="str">
        <f t="shared" si="16"/>
        <v/>
      </c>
      <c r="AM15" s="23" t="str">
        <f>IF(AL15="","",IF(AL15&gt;=Panduan!$B$4,"Terserap","Perlu Evaluasi"))</f>
        <v/>
      </c>
    </row>
    <row r="16">
      <c r="A16" s="23" t="str">
        <f t="shared" si="2"/>
        <v/>
      </c>
      <c r="B16" s="33"/>
      <c r="C16" s="23" t="str">
        <f t="shared" si="3"/>
        <v/>
      </c>
      <c r="D16" s="31"/>
      <c r="E16" s="31"/>
      <c r="F16" s="31"/>
      <c r="G16" s="31"/>
      <c r="H16" s="31"/>
      <c r="I16" s="32"/>
      <c r="J16" s="30"/>
      <c r="K16" s="30"/>
      <c r="L16" s="28" t="str">
        <f t="shared" si="4"/>
        <v/>
      </c>
      <c r="M16" s="28" t="str">
        <f t="shared" si="5"/>
        <v/>
      </c>
      <c r="N16" s="23" t="str">
        <f>IF(M16="","",IF(M16&gt;=Panduan!$B$4,"Terserap","Perlu Evaluasi"))</f>
        <v/>
      </c>
      <c r="O16" s="30"/>
      <c r="P16" s="30"/>
      <c r="Q16" s="28" t="str">
        <f t="shared" si="6"/>
        <v/>
      </c>
      <c r="R16" s="28" t="str">
        <f t="shared" si="7"/>
        <v/>
      </c>
      <c r="S16" s="23" t="str">
        <f>IF(R16="","",IF(R16&gt;=Panduan!$B$4,"Terserap","Perlu Evaluasi"))</f>
        <v/>
      </c>
      <c r="T16" s="30"/>
      <c r="U16" s="30"/>
      <c r="V16" s="28" t="str">
        <f t="shared" si="8"/>
        <v/>
      </c>
      <c r="W16" s="28" t="str">
        <f t="shared" si="9"/>
        <v/>
      </c>
      <c r="X16" s="23" t="str">
        <f>IF(W16="","",IF(W16&gt;=Panduan!$B$4,"Terserap","Perlu Evaluasi"))</f>
        <v/>
      </c>
      <c r="Y16" s="30"/>
      <c r="Z16" s="30"/>
      <c r="AA16" s="28" t="str">
        <f t="shared" si="10"/>
        <v/>
      </c>
      <c r="AB16" s="28" t="str">
        <f t="shared" si="11"/>
        <v/>
      </c>
      <c r="AC16" s="23" t="str">
        <f>IF(AB16="","",IF(AB16&gt;=Panduan!$B$4,"Terserap","Perlu Evaluasi"))</f>
        <v/>
      </c>
      <c r="AD16" s="30"/>
      <c r="AE16" s="30"/>
      <c r="AF16" s="28" t="str">
        <f t="shared" si="12"/>
        <v/>
      </c>
      <c r="AG16" s="28" t="str">
        <f t="shared" si="13"/>
        <v/>
      </c>
      <c r="AH16" s="23" t="str">
        <f>IF(AG16="","",IF(AG16&gt;=Panduan!$B$4,"Terserap","Perlu Evaluasi"))</f>
        <v/>
      </c>
      <c r="AI16" s="29" t="str">
        <f t="shared" ref="AI16:AJ16" si="25">IF(COUNTA(J16,O16,T16,Y16,AD16)=0,"",SUM(J16,O16,T16,Y16,AD16))</f>
        <v/>
      </c>
      <c r="AJ16" s="29" t="str">
        <f t="shared" si="25"/>
        <v/>
      </c>
      <c r="AK16" s="28" t="str">
        <f t="shared" si="15"/>
        <v/>
      </c>
      <c r="AL16" s="28" t="str">
        <f t="shared" si="16"/>
        <v/>
      </c>
      <c r="AM16" s="23" t="str">
        <f>IF(AL16="","",IF(AL16&gt;=Panduan!$B$4,"Terserap","Perlu Evaluasi"))</f>
        <v/>
      </c>
    </row>
    <row r="17">
      <c r="A17" s="23" t="str">
        <f t="shared" si="2"/>
        <v/>
      </c>
      <c r="B17" s="33"/>
      <c r="C17" s="23" t="str">
        <f t="shared" si="3"/>
        <v/>
      </c>
      <c r="D17" s="31"/>
      <c r="E17" s="31"/>
      <c r="F17" s="31"/>
      <c r="G17" s="31"/>
      <c r="H17" s="31"/>
      <c r="I17" s="32"/>
      <c r="J17" s="30"/>
      <c r="K17" s="30"/>
      <c r="L17" s="28" t="str">
        <f t="shared" si="4"/>
        <v/>
      </c>
      <c r="M17" s="28" t="str">
        <f t="shared" si="5"/>
        <v/>
      </c>
      <c r="N17" s="23" t="str">
        <f>IF(M17="","",IF(M17&gt;=Panduan!$B$4,"Terserap","Perlu Evaluasi"))</f>
        <v/>
      </c>
      <c r="O17" s="30"/>
      <c r="P17" s="30"/>
      <c r="Q17" s="28" t="str">
        <f t="shared" si="6"/>
        <v/>
      </c>
      <c r="R17" s="28" t="str">
        <f t="shared" si="7"/>
        <v/>
      </c>
      <c r="S17" s="23" t="str">
        <f>IF(R17="","",IF(R17&gt;=Panduan!$B$4,"Terserap","Perlu Evaluasi"))</f>
        <v/>
      </c>
      <c r="T17" s="30"/>
      <c r="U17" s="30"/>
      <c r="V17" s="28" t="str">
        <f t="shared" si="8"/>
        <v/>
      </c>
      <c r="W17" s="28" t="str">
        <f t="shared" si="9"/>
        <v/>
      </c>
      <c r="X17" s="23" t="str">
        <f>IF(W17="","",IF(W17&gt;=Panduan!$B$4,"Terserap","Perlu Evaluasi"))</f>
        <v/>
      </c>
      <c r="Y17" s="30"/>
      <c r="Z17" s="30"/>
      <c r="AA17" s="28" t="str">
        <f t="shared" si="10"/>
        <v/>
      </c>
      <c r="AB17" s="28" t="str">
        <f t="shared" si="11"/>
        <v/>
      </c>
      <c r="AC17" s="23" t="str">
        <f>IF(AB17="","",IF(AB17&gt;=Panduan!$B$4,"Terserap","Perlu Evaluasi"))</f>
        <v/>
      </c>
      <c r="AD17" s="30"/>
      <c r="AE17" s="30"/>
      <c r="AF17" s="28" t="str">
        <f t="shared" si="12"/>
        <v/>
      </c>
      <c r="AG17" s="28" t="str">
        <f t="shared" si="13"/>
        <v/>
      </c>
      <c r="AH17" s="23" t="str">
        <f>IF(AG17="","",IF(AG17&gt;=Panduan!$B$4,"Terserap","Perlu Evaluasi"))</f>
        <v/>
      </c>
      <c r="AI17" s="29" t="str">
        <f t="shared" ref="AI17:AJ17" si="26">IF(COUNTA(J17,O17,T17,Y17,AD17)=0,"",SUM(J17,O17,T17,Y17,AD17))</f>
        <v/>
      </c>
      <c r="AJ17" s="29" t="str">
        <f t="shared" si="26"/>
        <v/>
      </c>
      <c r="AK17" s="28" t="str">
        <f t="shared" si="15"/>
        <v/>
      </c>
      <c r="AL17" s="28" t="str">
        <f t="shared" si="16"/>
        <v/>
      </c>
      <c r="AM17" s="23" t="str">
        <f>IF(AL17="","",IF(AL17&gt;=Panduan!$B$4,"Terserap","Perlu Evaluasi"))</f>
        <v/>
      </c>
    </row>
    <row r="18">
      <c r="A18" s="23" t="str">
        <f t="shared" si="2"/>
        <v/>
      </c>
      <c r="B18" s="33"/>
      <c r="C18" s="23" t="str">
        <f t="shared" si="3"/>
        <v/>
      </c>
      <c r="D18" s="31"/>
      <c r="E18" s="31"/>
      <c r="F18" s="31"/>
      <c r="G18" s="31"/>
      <c r="H18" s="31"/>
      <c r="I18" s="32"/>
      <c r="J18" s="30"/>
      <c r="K18" s="30"/>
      <c r="L18" s="28" t="str">
        <f t="shared" si="4"/>
        <v/>
      </c>
      <c r="M18" s="28" t="str">
        <f t="shared" si="5"/>
        <v/>
      </c>
      <c r="N18" s="23" t="str">
        <f>IF(M18="","",IF(M18&gt;=Panduan!$B$4,"Terserap","Perlu Evaluasi"))</f>
        <v/>
      </c>
      <c r="O18" s="30"/>
      <c r="P18" s="30"/>
      <c r="Q18" s="28" t="str">
        <f t="shared" si="6"/>
        <v/>
      </c>
      <c r="R18" s="28" t="str">
        <f t="shared" si="7"/>
        <v/>
      </c>
      <c r="S18" s="23" t="str">
        <f>IF(R18="","",IF(R18&gt;=Panduan!$B$4,"Terserap","Perlu Evaluasi"))</f>
        <v/>
      </c>
      <c r="T18" s="30"/>
      <c r="U18" s="30"/>
      <c r="V18" s="28" t="str">
        <f t="shared" si="8"/>
        <v/>
      </c>
      <c r="W18" s="28" t="str">
        <f t="shared" si="9"/>
        <v/>
      </c>
      <c r="X18" s="23" t="str">
        <f>IF(W18="","",IF(W18&gt;=Panduan!$B$4,"Terserap","Perlu Evaluasi"))</f>
        <v/>
      </c>
      <c r="Y18" s="30"/>
      <c r="Z18" s="30"/>
      <c r="AA18" s="28" t="str">
        <f t="shared" si="10"/>
        <v/>
      </c>
      <c r="AB18" s="28" t="str">
        <f t="shared" si="11"/>
        <v/>
      </c>
      <c r="AC18" s="23" t="str">
        <f>IF(AB18="","",IF(AB18&gt;=Panduan!$B$4,"Terserap","Perlu Evaluasi"))</f>
        <v/>
      </c>
      <c r="AD18" s="30"/>
      <c r="AE18" s="30"/>
      <c r="AF18" s="28" t="str">
        <f t="shared" si="12"/>
        <v/>
      </c>
      <c r="AG18" s="28" t="str">
        <f t="shared" si="13"/>
        <v/>
      </c>
      <c r="AH18" s="23" t="str">
        <f>IF(AG18="","",IF(AG18&gt;=Panduan!$B$4,"Terserap","Perlu Evaluasi"))</f>
        <v/>
      </c>
      <c r="AI18" s="29" t="str">
        <f t="shared" ref="AI18:AJ18" si="27">IF(COUNTA(J18,O18,T18,Y18,AD18)=0,"",SUM(J18,O18,T18,Y18,AD18))</f>
        <v/>
      </c>
      <c r="AJ18" s="29" t="str">
        <f t="shared" si="27"/>
        <v/>
      </c>
      <c r="AK18" s="28" t="str">
        <f t="shared" si="15"/>
        <v/>
      </c>
      <c r="AL18" s="28" t="str">
        <f t="shared" si="16"/>
        <v/>
      </c>
      <c r="AM18" s="23" t="str">
        <f>IF(AL18="","",IF(AL18&gt;=Panduan!$B$4,"Terserap","Perlu Evaluasi"))</f>
        <v/>
      </c>
    </row>
    <row r="19">
      <c r="A19" s="23" t="str">
        <f t="shared" si="2"/>
        <v/>
      </c>
      <c r="B19" s="33"/>
      <c r="C19" s="23" t="str">
        <f t="shared" si="3"/>
        <v/>
      </c>
      <c r="D19" s="31"/>
      <c r="E19" s="31"/>
      <c r="F19" s="31"/>
      <c r="G19" s="31"/>
      <c r="H19" s="31"/>
      <c r="I19" s="32"/>
      <c r="J19" s="30"/>
      <c r="K19" s="30"/>
      <c r="L19" s="28" t="str">
        <f t="shared" si="4"/>
        <v/>
      </c>
      <c r="M19" s="28" t="str">
        <f t="shared" si="5"/>
        <v/>
      </c>
      <c r="N19" s="23" t="str">
        <f>IF(M19="","",IF(M19&gt;=Panduan!$B$4,"Terserap","Perlu Evaluasi"))</f>
        <v/>
      </c>
      <c r="O19" s="30"/>
      <c r="P19" s="30"/>
      <c r="Q19" s="28" t="str">
        <f t="shared" si="6"/>
        <v/>
      </c>
      <c r="R19" s="28" t="str">
        <f t="shared" si="7"/>
        <v/>
      </c>
      <c r="S19" s="23" t="str">
        <f>IF(R19="","",IF(R19&gt;=Panduan!$B$4,"Terserap","Perlu Evaluasi"))</f>
        <v/>
      </c>
      <c r="T19" s="30"/>
      <c r="U19" s="30"/>
      <c r="V19" s="28" t="str">
        <f t="shared" si="8"/>
        <v/>
      </c>
      <c r="W19" s="28" t="str">
        <f t="shared" si="9"/>
        <v/>
      </c>
      <c r="X19" s="23" t="str">
        <f>IF(W19="","",IF(W19&gt;=Panduan!$B$4,"Terserap","Perlu Evaluasi"))</f>
        <v/>
      </c>
      <c r="Y19" s="30"/>
      <c r="Z19" s="30"/>
      <c r="AA19" s="28" t="str">
        <f t="shared" si="10"/>
        <v/>
      </c>
      <c r="AB19" s="28" t="str">
        <f t="shared" si="11"/>
        <v/>
      </c>
      <c r="AC19" s="23" t="str">
        <f>IF(AB19="","",IF(AB19&gt;=Panduan!$B$4,"Terserap","Perlu Evaluasi"))</f>
        <v/>
      </c>
      <c r="AD19" s="30"/>
      <c r="AE19" s="30"/>
      <c r="AF19" s="28" t="str">
        <f t="shared" si="12"/>
        <v/>
      </c>
      <c r="AG19" s="28" t="str">
        <f t="shared" si="13"/>
        <v/>
      </c>
      <c r="AH19" s="23" t="str">
        <f>IF(AG19="","",IF(AG19&gt;=Panduan!$B$4,"Terserap","Perlu Evaluasi"))</f>
        <v/>
      </c>
      <c r="AI19" s="29" t="str">
        <f t="shared" ref="AI19:AJ19" si="28">IF(COUNTA(J19,O19,T19,Y19,AD19)=0,"",SUM(J19,O19,T19,Y19,AD19))</f>
        <v/>
      </c>
      <c r="AJ19" s="29" t="str">
        <f t="shared" si="28"/>
        <v/>
      </c>
      <c r="AK19" s="28" t="str">
        <f t="shared" si="15"/>
        <v/>
      </c>
      <c r="AL19" s="28" t="str">
        <f t="shared" si="16"/>
        <v/>
      </c>
      <c r="AM19" s="23" t="str">
        <f>IF(AL19="","",IF(AL19&gt;=Panduan!$B$4,"Terserap","Perlu Evaluasi"))</f>
        <v/>
      </c>
    </row>
    <row r="20" ht="15.75" customHeight="1">
      <c r="A20" s="23" t="str">
        <f t="shared" si="2"/>
        <v/>
      </c>
      <c r="B20" s="33"/>
      <c r="C20" s="23" t="str">
        <f t="shared" si="3"/>
        <v/>
      </c>
      <c r="D20" s="31"/>
      <c r="E20" s="31"/>
      <c r="F20" s="31"/>
      <c r="G20" s="31"/>
      <c r="H20" s="31"/>
      <c r="I20" s="32"/>
      <c r="J20" s="30"/>
      <c r="K20" s="30"/>
      <c r="L20" s="28" t="str">
        <f t="shared" si="4"/>
        <v/>
      </c>
      <c r="M20" s="28" t="str">
        <f t="shared" si="5"/>
        <v/>
      </c>
      <c r="N20" s="23" t="str">
        <f>IF(M20="","",IF(M20&gt;=Panduan!$B$4,"Terserap","Perlu Evaluasi"))</f>
        <v/>
      </c>
      <c r="O20" s="30"/>
      <c r="P20" s="30"/>
      <c r="Q20" s="28" t="str">
        <f t="shared" si="6"/>
        <v/>
      </c>
      <c r="R20" s="28" t="str">
        <f t="shared" si="7"/>
        <v/>
      </c>
      <c r="S20" s="23" t="str">
        <f>IF(R20="","",IF(R20&gt;=Panduan!$B$4,"Terserap","Perlu Evaluasi"))</f>
        <v/>
      </c>
      <c r="T20" s="30"/>
      <c r="U20" s="30"/>
      <c r="V20" s="28" t="str">
        <f t="shared" si="8"/>
        <v/>
      </c>
      <c r="W20" s="28" t="str">
        <f t="shared" si="9"/>
        <v/>
      </c>
      <c r="X20" s="23" t="str">
        <f>IF(W20="","",IF(W20&gt;=Panduan!$B$4,"Terserap","Perlu Evaluasi"))</f>
        <v/>
      </c>
      <c r="Y20" s="30"/>
      <c r="Z20" s="30"/>
      <c r="AA20" s="28" t="str">
        <f t="shared" si="10"/>
        <v/>
      </c>
      <c r="AB20" s="28" t="str">
        <f t="shared" si="11"/>
        <v/>
      </c>
      <c r="AC20" s="23" t="str">
        <f>IF(AB20="","",IF(AB20&gt;=Panduan!$B$4,"Terserap","Perlu Evaluasi"))</f>
        <v/>
      </c>
      <c r="AD20" s="30"/>
      <c r="AE20" s="30"/>
      <c r="AF20" s="28" t="str">
        <f t="shared" si="12"/>
        <v/>
      </c>
      <c r="AG20" s="28" t="str">
        <f t="shared" si="13"/>
        <v/>
      </c>
      <c r="AH20" s="23" t="str">
        <f>IF(AG20="","",IF(AG20&gt;=Panduan!$B$4,"Terserap","Perlu Evaluasi"))</f>
        <v/>
      </c>
      <c r="AI20" s="29" t="str">
        <f t="shared" ref="AI20:AJ20" si="29">IF(COUNTA(J20,O20,T20,Y20,AD20)=0,"",SUM(J20,O20,T20,Y20,AD20))</f>
        <v/>
      </c>
      <c r="AJ20" s="29" t="str">
        <f t="shared" si="29"/>
        <v/>
      </c>
      <c r="AK20" s="28" t="str">
        <f t="shared" si="15"/>
        <v/>
      </c>
      <c r="AL20" s="28" t="str">
        <f t="shared" si="16"/>
        <v/>
      </c>
      <c r="AM20" s="23" t="str">
        <f>IF(AL20="","",IF(AL20&gt;=Panduan!$B$4,"Terserap","Perlu Evaluasi"))</f>
        <v/>
      </c>
    </row>
    <row r="21" ht="15.75" customHeight="1">
      <c r="A21" s="23" t="str">
        <f t="shared" si="2"/>
        <v/>
      </c>
      <c r="B21" s="33"/>
      <c r="C21" s="23" t="str">
        <f t="shared" si="3"/>
        <v/>
      </c>
      <c r="D21" s="31"/>
      <c r="E21" s="31"/>
      <c r="F21" s="31"/>
      <c r="G21" s="31"/>
      <c r="H21" s="31"/>
      <c r="I21" s="32"/>
      <c r="J21" s="30"/>
      <c r="K21" s="30"/>
      <c r="L21" s="28" t="str">
        <f t="shared" si="4"/>
        <v/>
      </c>
      <c r="M21" s="28" t="str">
        <f t="shared" si="5"/>
        <v/>
      </c>
      <c r="N21" s="23" t="str">
        <f>IF(M21="","",IF(M21&gt;=Panduan!$B$4,"Terserap","Perlu Evaluasi"))</f>
        <v/>
      </c>
      <c r="O21" s="30"/>
      <c r="P21" s="30"/>
      <c r="Q21" s="28" t="str">
        <f t="shared" si="6"/>
        <v/>
      </c>
      <c r="R21" s="28" t="str">
        <f t="shared" si="7"/>
        <v/>
      </c>
      <c r="S21" s="23" t="str">
        <f>IF(R21="","",IF(R21&gt;=Panduan!$B$4,"Terserap","Perlu Evaluasi"))</f>
        <v/>
      </c>
      <c r="T21" s="30"/>
      <c r="U21" s="30"/>
      <c r="V21" s="28" t="str">
        <f t="shared" si="8"/>
        <v/>
      </c>
      <c r="W21" s="28" t="str">
        <f t="shared" si="9"/>
        <v/>
      </c>
      <c r="X21" s="23" t="str">
        <f>IF(W21="","",IF(W21&gt;=Panduan!$B$4,"Terserap","Perlu Evaluasi"))</f>
        <v/>
      </c>
      <c r="Y21" s="30"/>
      <c r="Z21" s="30"/>
      <c r="AA21" s="28" t="str">
        <f t="shared" si="10"/>
        <v/>
      </c>
      <c r="AB21" s="28" t="str">
        <f t="shared" si="11"/>
        <v/>
      </c>
      <c r="AC21" s="23" t="str">
        <f>IF(AB21="","",IF(AB21&gt;=Panduan!$B$4,"Terserap","Perlu Evaluasi"))</f>
        <v/>
      </c>
      <c r="AD21" s="30"/>
      <c r="AE21" s="30"/>
      <c r="AF21" s="28" t="str">
        <f t="shared" si="12"/>
        <v/>
      </c>
      <c r="AG21" s="28" t="str">
        <f t="shared" si="13"/>
        <v/>
      </c>
      <c r="AH21" s="23" t="str">
        <f>IF(AG21="","",IF(AG21&gt;=Panduan!$B$4,"Terserap","Perlu Evaluasi"))</f>
        <v/>
      </c>
      <c r="AI21" s="29" t="str">
        <f t="shared" ref="AI21:AJ21" si="30">IF(COUNTA(J21,O21,T21,Y21,AD21)=0,"",SUM(J21,O21,T21,Y21,AD21))</f>
        <v/>
      </c>
      <c r="AJ21" s="29" t="str">
        <f t="shared" si="30"/>
        <v/>
      </c>
      <c r="AK21" s="28" t="str">
        <f t="shared" si="15"/>
        <v/>
      </c>
      <c r="AL21" s="28" t="str">
        <f t="shared" si="16"/>
        <v/>
      </c>
      <c r="AM21" s="23" t="str">
        <f>IF(AL21="","",IF(AL21&gt;=Panduan!$B$4,"Terserap","Perlu Evaluasi"))</f>
        <v/>
      </c>
    </row>
    <row r="22" ht="15.75" customHeight="1">
      <c r="A22" s="23" t="str">
        <f t="shared" si="2"/>
        <v/>
      </c>
      <c r="B22" s="33"/>
      <c r="C22" s="23" t="str">
        <f t="shared" si="3"/>
        <v/>
      </c>
      <c r="D22" s="31"/>
      <c r="E22" s="31"/>
      <c r="F22" s="31"/>
      <c r="G22" s="31"/>
      <c r="H22" s="31"/>
      <c r="I22" s="32"/>
      <c r="J22" s="30"/>
      <c r="K22" s="30"/>
      <c r="L22" s="28" t="str">
        <f t="shared" si="4"/>
        <v/>
      </c>
      <c r="M22" s="28" t="str">
        <f t="shared" si="5"/>
        <v/>
      </c>
      <c r="N22" s="23" t="str">
        <f>IF(M22="","",IF(M22&gt;=Panduan!$B$4,"Terserap","Perlu Evaluasi"))</f>
        <v/>
      </c>
      <c r="O22" s="30"/>
      <c r="P22" s="30"/>
      <c r="Q22" s="28" t="str">
        <f t="shared" si="6"/>
        <v/>
      </c>
      <c r="R22" s="28" t="str">
        <f t="shared" si="7"/>
        <v/>
      </c>
      <c r="S22" s="23" t="str">
        <f>IF(R22="","",IF(R22&gt;=Panduan!$B$4,"Terserap","Perlu Evaluasi"))</f>
        <v/>
      </c>
      <c r="T22" s="30"/>
      <c r="U22" s="30"/>
      <c r="V22" s="28" t="str">
        <f t="shared" si="8"/>
        <v/>
      </c>
      <c r="W22" s="28" t="str">
        <f t="shared" si="9"/>
        <v/>
      </c>
      <c r="X22" s="23" t="str">
        <f>IF(W22="","",IF(W22&gt;=Panduan!$B$4,"Terserap","Perlu Evaluasi"))</f>
        <v/>
      </c>
      <c r="Y22" s="30"/>
      <c r="Z22" s="30"/>
      <c r="AA22" s="28" t="str">
        <f t="shared" si="10"/>
        <v/>
      </c>
      <c r="AB22" s="28" t="str">
        <f t="shared" si="11"/>
        <v/>
      </c>
      <c r="AC22" s="23" t="str">
        <f>IF(AB22="","",IF(AB22&gt;=Panduan!$B$4,"Terserap","Perlu Evaluasi"))</f>
        <v/>
      </c>
      <c r="AD22" s="30"/>
      <c r="AE22" s="30"/>
      <c r="AF22" s="28" t="str">
        <f t="shared" si="12"/>
        <v/>
      </c>
      <c r="AG22" s="28" t="str">
        <f t="shared" si="13"/>
        <v/>
      </c>
      <c r="AH22" s="23" t="str">
        <f>IF(AG22="","",IF(AG22&gt;=Panduan!$B$4,"Terserap","Perlu Evaluasi"))</f>
        <v/>
      </c>
      <c r="AI22" s="29" t="str">
        <f t="shared" ref="AI22:AJ22" si="31">IF(COUNTA(J22,O22,T22,Y22,AD22)=0,"",SUM(J22,O22,T22,Y22,AD22))</f>
        <v/>
      </c>
      <c r="AJ22" s="29" t="str">
        <f t="shared" si="31"/>
        <v/>
      </c>
      <c r="AK22" s="28" t="str">
        <f t="shared" si="15"/>
        <v/>
      </c>
      <c r="AL22" s="28" t="str">
        <f t="shared" si="16"/>
        <v/>
      </c>
      <c r="AM22" s="23" t="str">
        <f>IF(AL22="","",IF(AL22&gt;=Panduan!$B$4,"Terserap","Perlu Evaluasi"))</f>
        <v/>
      </c>
    </row>
    <row r="23" ht="15.75" customHeight="1">
      <c r="A23" s="23" t="str">
        <f t="shared" si="2"/>
        <v/>
      </c>
      <c r="B23" s="33"/>
      <c r="C23" s="23" t="str">
        <f t="shared" si="3"/>
        <v/>
      </c>
      <c r="D23" s="31"/>
      <c r="E23" s="31"/>
      <c r="F23" s="31"/>
      <c r="G23" s="31"/>
      <c r="H23" s="31"/>
      <c r="I23" s="32"/>
      <c r="J23" s="30"/>
      <c r="K23" s="30"/>
      <c r="L23" s="28" t="str">
        <f t="shared" si="4"/>
        <v/>
      </c>
      <c r="M23" s="28" t="str">
        <f t="shared" si="5"/>
        <v/>
      </c>
      <c r="N23" s="23" t="str">
        <f>IF(M23="","",IF(M23&gt;=Panduan!$B$4,"Terserap","Perlu Evaluasi"))</f>
        <v/>
      </c>
      <c r="O23" s="30"/>
      <c r="P23" s="30"/>
      <c r="Q23" s="28" t="str">
        <f t="shared" si="6"/>
        <v/>
      </c>
      <c r="R23" s="28" t="str">
        <f t="shared" si="7"/>
        <v/>
      </c>
      <c r="S23" s="23" t="str">
        <f>IF(R23="","",IF(R23&gt;=Panduan!$B$4,"Terserap","Perlu Evaluasi"))</f>
        <v/>
      </c>
      <c r="T23" s="30"/>
      <c r="U23" s="30"/>
      <c r="V23" s="28" t="str">
        <f t="shared" si="8"/>
        <v/>
      </c>
      <c r="W23" s="28" t="str">
        <f t="shared" si="9"/>
        <v/>
      </c>
      <c r="X23" s="23" t="str">
        <f>IF(W23="","",IF(W23&gt;=Panduan!$B$4,"Terserap","Perlu Evaluasi"))</f>
        <v/>
      </c>
      <c r="Y23" s="30"/>
      <c r="Z23" s="30"/>
      <c r="AA23" s="28" t="str">
        <f t="shared" si="10"/>
        <v/>
      </c>
      <c r="AB23" s="28" t="str">
        <f t="shared" si="11"/>
        <v/>
      </c>
      <c r="AC23" s="23" t="str">
        <f>IF(AB23="","",IF(AB23&gt;=Panduan!$B$4,"Terserap","Perlu Evaluasi"))</f>
        <v/>
      </c>
      <c r="AD23" s="30"/>
      <c r="AE23" s="30"/>
      <c r="AF23" s="28" t="str">
        <f t="shared" si="12"/>
        <v/>
      </c>
      <c r="AG23" s="28" t="str">
        <f t="shared" si="13"/>
        <v/>
      </c>
      <c r="AH23" s="23" t="str">
        <f>IF(AG23="","",IF(AG23&gt;=Panduan!$B$4,"Terserap","Perlu Evaluasi"))</f>
        <v/>
      </c>
      <c r="AI23" s="29" t="str">
        <f t="shared" ref="AI23:AJ23" si="32">IF(COUNTA(J23,O23,T23,Y23,AD23)=0,"",SUM(J23,O23,T23,Y23,AD23))</f>
        <v/>
      </c>
      <c r="AJ23" s="29" t="str">
        <f t="shared" si="32"/>
        <v/>
      </c>
      <c r="AK23" s="28" t="str">
        <f t="shared" si="15"/>
        <v/>
      </c>
      <c r="AL23" s="28" t="str">
        <f t="shared" si="16"/>
        <v/>
      </c>
      <c r="AM23" s="23" t="str">
        <f>IF(AL23="","",IF(AL23&gt;=Panduan!$B$4,"Terserap","Perlu Evaluasi"))</f>
        <v/>
      </c>
    </row>
    <row r="24" ht="15.75" customHeight="1">
      <c r="A24" s="23" t="str">
        <f t="shared" si="2"/>
        <v/>
      </c>
      <c r="B24" s="33"/>
      <c r="C24" s="23" t="str">
        <f t="shared" si="3"/>
        <v/>
      </c>
      <c r="D24" s="31"/>
      <c r="E24" s="31"/>
      <c r="F24" s="31"/>
      <c r="G24" s="31"/>
      <c r="H24" s="31"/>
      <c r="I24" s="32"/>
      <c r="J24" s="30"/>
      <c r="K24" s="30"/>
      <c r="L24" s="28" t="str">
        <f t="shared" si="4"/>
        <v/>
      </c>
      <c r="M24" s="28" t="str">
        <f t="shared" si="5"/>
        <v/>
      </c>
      <c r="N24" s="23" t="str">
        <f>IF(M24="","",IF(M24&gt;=Panduan!$B$4,"Terserap","Perlu Evaluasi"))</f>
        <v/>
      </c>
      <c r="O24" s="30"/>
      <c r="P24" s="30"/>
      <c r="Q24" s="28" t="str">
        <f t="shared" si="6"/>
        <v/>
      </c>
      <c r="R24" s="28" t="str">
        <f t="shared" si="7"/>
        <v/>
      </c>
      <c r="S24" s="23" t="str">
        <f>IF(R24="","",IF(R24&gt;=Panduan!$B$4,"Terserap","Perlu Evaluasi"))</f>
        <v/>
      </c>
      <c r="T24" s="30"/>
      <c r="U24" s="30"/>
      <c r="V24" s="28" t="str">
        <f t="shared" si="8"/>
        <v/>
      </c>
      <c r="W24" s="28" t="str">
        <f t="shared" si="9"/>
        <v/>
      </c>
      <c r="X24" s="23" t="str">
        <f>IF(W24="","",IF(W24&gt;=Panduan!$B$4,"Terserap","Perlu Evaluasi"))</f>
        <v/>
      </c>
      <c r="Y24" s="30"/>
      <c r="Z24" s="30"/>
      <c r="AA24" s="28" t="str">
        <f t="shared" si="10"/>
        <v/>
      </c>
      <c r="AB24" s="28" t="str">
        <f t="shared" si="11"/>
        <v/>
      </c>
      <c r="AC24" s="23" t="str">
        <f>IF(AB24="","",IF(AB24&gt;=Panduan!$B$4,"Terserap","Perlu Evaluasi"))</f>
        <v/>
      </c>
      <c r="AD24" s="30"/>
      <c r="AE24" s="30"/>
      <c r="AF24" s="28" t="str">
        <f t="shared" si="12"/>
        <v/>
      </c>
      <c r="AG24" s="28" t="str">
        <f t="shared" si="13"/>
        <v/>
      </c>
      <c r="AH24" s="23" t="str">
        <f>IF(AG24="","",IF(AG24&gt;=Panduan!$B$4,"Terserap","Perlu Evaluasi"))</f>
        <v/>
      </c>
      <c r="AI24" s="29" t="str">
        <f t="shared" ref="AI24:AJ24" si="33">IF(COUNTA(J24,O24,T24,Y24,AD24)=0,"",SUM(J24,O24,T24,Y24,AD24))</f>
        <v/>
      </c>
      <c r="AJ24" s="29" t="str">
        <f t="shared" si="33"/>
        <v/>
      </c>
      <c r="AK24" s="28" t="str">
        <f t="shared" si="15"/>
        <v/>
      </c>
      <c r="AL24" s="28" t="str">
        <f t="shared" si="16"/>
        <v/>
      </c>
      <c r="AM24" s="23" t="str">
        <f>IF(AL24="","",IF(AL24&gt;=Panduan!$B$4,"Terserap","Perlu Evaluasi"))</f>
        <v/>
      </c>
    </row>
    <row r="25" ht="15.75" customHeight="1">
      <c r="A25" s="23" t="str">
        <f t="shared" si="2"/>
        <v/>
      </c>
      <c r="B25" s="33"/>
      <c r="C25" s="23" t="str">
        <f t="shared" si="3"/>
        <v/>
      </c>
      <c r="D25" s="31"/>
      <c r="E25" s="31"/>
      <c r="F25" s="31"/>
      <c r="G25" s="31"/>
      <c r="H25" s="31"/>
      <c r="I25" s="32"/>
      <c r="J25" s="30"/>
      <c r="K25" s="30"/>
      <c r="L25" s="28" t="str">
        <f t="shared" si="4"/>
        <v/>
      </c>
      <c r="M25" s="28" t="str">
        <f t="shared" si="5"/>
        <v/>
      </c>
      <c r="N25" s="23" t="str">
        <f>IF(M25="","",IF(M25&gt;=Panduan!$B$4,"Terserap","Perlu Evaluasi"))</f>
        <v/>
      </c>
      <c r="O25" s="30"/>
      <c r="P25" s="30"/>
      <c r="Q25" s="28" t="str">
        <f t="shared" si="6"/>
        <v/>
      </c>
      <c r="R25" s="28" t="str">
        <f t="shared" si="7"/>
        <v/>
      </c>
      <c r="S25" s="23" t="str">
        <f>IF(R25="","",IF(R25&gt;=Panduan!$B$4,"Terserap","Perlu Evaluasi"))</f>
        <v/>
      </c>
      <c r="T25" s="30"/>
      <c r="U25" s="30"/>
      <c r="V25" s="28" t="str">
        <f t="shared" si="8"/>
        <v/>
      </c>
      <c r="W25" s="28" t="str">
        <f t="shared" si="9"/>
        <v/>
      </c>
      <c r="X25" s="23" t="str">
        <f>IF(W25="","",IF(W25&gt;=Panduan!$B$4,"Terserap","Perlu Evaluasi"))</f>
        <v/>
      </c>
      <c r="Y25" s="30"/>
      <c r="Z25" s="30"/>
      <c r="AA25" s="28" t="str">
        <f t="shared" si="10"/>
        <v/>
      </c>
      <c r="AB25" s="28" t="str">
        <f t="shared" si="11"/>
        <v/>
      </c>
      <c r="AC25" s="23" t="str">
        <f>IF(AB25="","",IF(AB25&gt;=Panduan!$B$4,"Terserap","Perlu Evaluasi"))</f>
        <v/>
      </c>
      <c r="AD25" s="30"/>
      <c r="AE25" s="30"/>
      <c r="AF25" s="28" t="str">
        <f t="shared" si="12"/>
        <v/>
      </c>
      <c r="AG25" s="28" t="str">
        <f t="shared" si="13"/>
        <v/>
      </c>
      <c r="AH25" s="23" t="str">
        <f>IF(AG25="","",IF(AG25&gt;=Panduan!$B$4,"Terserap","Perlu Evaluasi"))</f>
        <v/>
      </c>
      <c r="AI25" s="29" t="str">
        <f t="shared" ref="AI25:AJ25" si="34">IF(COUNTA(J25,O25,T25,Y25,AD25)=0,"",SUM(J25,O25,T25,Y25,AD25))</f>
        <v/>
      </c>
      <c r="AJ25" s="29" t="str">
        <f t="shared" si="34"/>
        <v/>
      </c>
      <c r="AK25" s="28" t="str">
        <f t="shared" si="15"/>
        <v/>
      </c>
      <c r="AL25" s="28" t="str">
        <f t="shared" si="16"/>
        <v/>
      </c>
      <c r="AM25" s="23" t="str">
        <f>IF(AL25="","",IF(AL25&gt;=Panduan!$B$4,"Terserap","Perlu Evaluasi"))</f>
        <v/>
      </c>
    </row>
    <row r="26" ht="15.75" customHeight="1">
      <c r="A26" s="23" t="str">
        <f t="shared" si="2"/>
        <v/>
      </c>
      <c r="B26" s="33"/>
      <c r="C26" s="23" t="str">
        <f t="shared" si="3"/>
        <v/>
      </c>
      <c r="D26" s="31"/>
      <c r="E26" s="31"/>
      <c r="F26" s="31"/>
      <c r="G26" s="31"/>
      <c r="H26" s="31"/>
      <c r="I26" s="32"/>
      <c r="J26" s="30"/>
      <c r="K26" s="30"/>
      <c r="L26" s="28" t="str">
        <f t="shared" si="4"/>
        <v/>
      </c>
      <c r="M26" s="28" t="str">
        <f t="shared" si="5"/>
        <v/>
      </c>
      <c r="N26" s="23" t="str">
        <f>IF(M26="","",IF(M26&gt;=Panduan!$B$4,"Terserap","Perlu Evaluasi"))</f>
        <v/>
      </c>
      <c r="O26" s="30"/>
      <c r="P26" s="30"/>
      <c r="Q26" s="28" t="str">
        <f t="shared" si="6"/>
        <v/>
      </c>
      <c r="R26" s="28" t="str">
        <f t="shared" si="7"/>
        <v/>
      </c>
      <c r="S26" s="23" t="str">
        <f>IF(R26="","",IF(R26&gt;=Panduan!$B$4,"Terserap","Perlu Evaluasi"))</f>
        <v/>
      </c>
      <c r="T26" s="30"/>
      <c r="U26" s="30"/>
      <c r="V26" s="28" t="str">
        <f t="shared" si="8"/>
        <v/>
      </c>
      <c r="W26" s="28" t="str">
        <f t="shared" si="9"/>
        <v/>
      </c>
      <c r="X26" s="23" t="str">
        <f>IF(W26="","",IF(W26&gt;=Panduan!$B$4,"Terserap","Perlu Evaluasi"))</f>
        <v/>
      </c>
      <c r="Y26" s="30"/>
      <c r="Z26" s="30"/>
      <c r="AA26" s="28" t="str">
        <f t="shared" si="10"/>
        <v/>
      </c>
      <c r="AB26" s="28" t="str">
        <f t="shared" si="11"/>
        <v/>
      </c>
      <c r="AC26" s="23" t="str">
        <f>IF(AB26="","",IF(AB26&gt;=Panduan!$B$4,"Terserap","Perlu Evaluasi"))</f>
        <v/>
      </c>
      <c r="AD26" s="30"/>
      <c r="AE26" s="30"/>
      <c r="AF26" s="28" t="str">
        <f t="shared" si="12"/>
        <v/>
      </c>
      <c r="AG26" s="28" t="str">
        <f t="shared" si="13"/>
        <v/>
      </c>
      <c r="AH26" s="23" t="str">
        <f>IF(AG26="","",IF(AG26&gt;=Panduan!$B$4,"Terserap","Perlu Evaluasi"))</f>
        <v/>
      </c>
      <c r="AI26" s="29" t="str">
        <f t="shared" ref="AI26:AJ26" si="35">IF(COUNTA(J26,O26,T26,Y26,AD26)=0,"",SUM(J26,O26,T26,Y26,AD26))</f>
        <v/>
      </c>
      <c r="AJ26" s="29" t="str">
        <f t="shared" si="35"/>
        <v/>
      </c>
      <c r="AK26" s="28" t="str">
        <f t="shared" si="15"/>
        <v/>
      </c>
      <c r="AL26" s="28" t="str">
        <f t="shared" si="16"/>
        <v/>
      </c>
      <c r="AM26" s="23" t="str">
        <f>IF(AL26="","",IF(AL26&gt;=Panduan!$B$4,"Terserap","Perlu Evaluasi"))</f>
        <v/>
      </c>
    </row>
    <row r="27" ht="15.75" customHeight="1">
      <c r="A27" s="23" t="str">
        <f t="shared" si="2"/>
        <v/>
      </c>
      <c r="B27" s="33"/>
      <c r="C27" s="23" t="str">
        <f t="shared" si="3"/>
        <v/>
      </c>
      <c r="D27" s="31"/>
      <c r="E27" s="31"/>
      <c r="F27" s="31"/>
      <c r="G27" s="31"/>
      <c r="H27" s="31"/>
      <c r="I27" s="32"/>
      <c r="J27" s="30"/>
      <c r="K27" s="30"/>
      <c r="L27" s="28" t="str">
        <f t="shared" si="4"/>
        <v/>
      </c>
      <c r="M27" s="28" t="str">
        <f t="shared" si="5"/>
        <v/>
      </c>
      <c r="N27" s="23" t="str">
        <f>IF(M27="","",IF(M27&gt;=Panduan!$B$4,"Terserap","Perlu Evaluasi"))</f>
        <v/>
      </c>
      <c r="O27" s="30"/>
      <c r="P27" s="30"/>
      <c r="Q27" s="28" t="str">
        <f t="shared" si="6"/>
        <v/>
      </c>
      <c r="R27" s="28" t="str">
        <f t="shared" si="7"/>
        <v/>
      </c>
      <c r="S27" s="23" t="str">
        <f>IF(R27="","",IF(R27&gt;=Panduan!$B$4,"Terserap","Perlu Evaluasi"))</f>
        <v/>
      </c>
      <c r="T27" s="30"/>
      <c r="U27" s="30"/>
      <c r="V27" s="28" t="str">
        <f t="shared" si="8"/>
        <v/>
      </c>
      <c r="W27" s="28" t="str">
        <f t="shared" si="9"/>
        <v/>
      </c>
      <c r="X27" s="23" t="str">
        <f>IF(W27="","",IF(W27&gt;=Panduan!$B$4,"Terserap","Perlu Evaluasi"))</f>
        <v/>
      </c>
      <c r="Y27" s="30"/>
      <c r="Z27" s="30"/>
      <c r="AA27" s="28" t="str">
        <f t="shared" si="10"/>
        <v/>
      </c>
      <c r="AB27" s="28" t="str">
        <f t="shared" si="11"/>
        <v/>
      </c>
      <c r="AC27" s="23" t="str">
        <f>IF(AB27="","",IF(AB27&gt;=Panduan!$B$4,"Terserap","Perlu Evaluasi"))</f>
        <v/>
      </c>
      <c r="AD27" s="30"/>
      <c r="AE27" s="30"/>
      <c r="AF27" s="28" t="str">
        <f t="shared" si="12"/>
        <v/>
      </c>
      <c r="AG27" s="28" t="str">
        <f t="shared" si="13"/>
        <v/>
      </c>
      <c r="AH27" s="23" t="str">
        <f>IF(AG27="","",IF(AG27&gt;=Panduan!$B$4,"Terserap","Perlu Evaluasi"))</f>
        <v/>
      </c>
      <c r="AI27" s="29" t="str">
        <f t="shared" ref="AI27:AJ27" si="36">IF(COUNTA(J27,O27,T27,Y27,AD27)=0,"",SUM(J27,O27,T27,Y27,AD27))</f>
        <v/>
      </c>
      <c r="AJ27" s="29" t="str">
        <f t="shared" si="36"/>
        <v/>
      </c>
      <c r="AK27" s="28" t="str">
        <f t="shared" si="15"/>
        <v/>
      </c>
      <c r="AL27" s="28" t="str">
        <f t="shared" si="16"/>
        <v/>
      </c>
      <c r="AM27" s="23" t="str">
        <f>IF(AL27="","",IF(AL27&gt;=Panduan!$B$4,"Terserap","Perlu Evaluasi"))</f>
        <v/>
      </c>
    </row>
    <row r="28" ht="15.75" customHeight="1">
      <c r="A28" s="23" t="str">
        <f t="shared" si="2"/>
        <v/>
      </c>
      <c r="B28" s="33"/>
      <c r="C28" s="23" t="str">
        <f t="shared" si="3"/>
        <v/>
      </c>
      <c r="D28" s="31"/>
      <c r="E28" s="31"/>
      <c r="F28" s="31"/>
      <c r="G28" s="31"/>
      <c r="H28" s="31"/>
      <c r="I28" s="32"/>
      <c r="J28" s="30"/>
      <c r="K28" s="30"/>
      <c r="L28" s="28" t="str">
        <f t="shared" si="4"/>
        <v/>
      </c>
      <c r="M28" s="28" t="str">
        <f t="shared" si="5"/>
        <v/>
      </c>
      <c r="N28" s="23" t="str">
        <f>IF(M28="","",IF(M28&gt;=Panduan!$B$4,"Terserap","Perlu Evaluasi"))</f>
        <v/>
      </c>
      <c r="O28" s="30"/>
      <c r="P28" s="30"/>
      <c r="Q28" s="28" t="str">
        <f t="shared" si="6"/>
        <v/>
      </c>
      <c r="R28" s="28" t="str">
        <f t="shared" si="7"/>
        <v/>
      </c>
      <c r="S28" s="23" t="str">
        <f>IF(R28="","",IF(R28&gt;=Panduan!$B$4,"Terserap","Perlu Evaluasi"))</f>
        <v/>
      </c>
      <c r="T28" s="30"/>
      <c r="U28" s="30"/>
      <c r="V28" s="28" t="str">
        <f t="shared" si="8"/>
        <v/>
      </c>
      <c r="W28" s="28" t="str">
        <f t="shared" si="9"/>
        <v/>
      </c>
      <c r="X28" s="23" t="str">
        <f>IF(W28="","",IF(W28&gt;=Panduan!$B$4,"Terserap","Perlu Evaluasi"))</f>
        <v/>
      </c>
      <c r="Y28" s="30"/>
      <c r="Z28" s="30"/>
      <c r="AA28" s="28" t="str">
        <f t="shared" si="10"/>
        <v/>
      </c>
      <c r="AB28" s="28" t="str">
        <f t="shared" si="11"/>
        <v/>
      </c>
      <c r="AC28" s="23" t="str">
        <f>IF(AB28="","",IF(AB28&gt;=Panduan!$B$4,"Terserap","Perlu Evaluasi"))</f>
        <v/>
      </c>
      <c r="AD28" s="30"/>
      <c r="AE28" s="30"/>
      <c r="AF28" s="28" t="str">
        <f t="shared" si="12"/>
        <v/>
      </c>
      <c r="AG28" s="28" t="str">
        <f t="shared" si="13"/>
        <v/>
      </c>
      <c r="AH28" s="23" t="str">
        <f>IF(AG28="","",IF(AG28&gt;=Panduan!$B$4,"Terserap","Perlu Evaluasi"))</f>
        <v/>
      </c>
      <c r="AI28" s="29" t="str">
        <f t="shared" ref="AI28:AJ28" si="37">IF(COUNTA(J28,O28,T28,Y28,AD28)=0,"",SUM(J28,O28,T28,Y28,AD28))</f>
        <v/>
      </c>
      <c r="AJ28" s="29" t="str">
        <f t="shared" si="37"/>
        <v/>
      </c>
      <c r="AK28" s="28" t="str">
        <f t="shared" si="15"/>
        <v/>
      </c>
      <c r="AL28" s="28" t="str">
        <f t="shared" si="16"/>
        <v/>
      </c>
      <c r="AM28" s="23" t="str">
        <f>IF(AL28="","",IF(AL28&gt;=Panduan!$B$4,"Terserap","Perlu Evaluasi"))</f>
        <v/>
      </c>
    </row>
    <row r="29" ht="15.75" customHeight="1">
      <c r="A29" s="23" t="str">
        <f t="shared" si="2"/>
        <v/>
      </c>
      <c r="B29" s="33"/>
      <c r="C29" s="23" t="str">
        <f t="shared" si="3"/>
        <v/>
      </c>
      <c r="D29" s="31"/>
      <c r="E29" s="31"/>
      <c r="F29" s="31"/>
      <c r="G29" s="31"/>
      <c r="H29" s="31"/>
      <c r="I29" s="32"/>
      <c r="J29" s="30"/>
      <c r="K29" s="30"/>
      <c r="L29" s="28" t="str">
        <f t="shared" si="4"/>
        <v/>
      </c>
      <c r="M29" s="28" t="str">
        <f t="shared" si="5"/>
        <v/>
      </c>
      <c r="N29" s="23" t="str">
        <f>IF(M29="","",IF(M29&gt;=Panduan!$B$4,"Terserap","Perlu Evaluasi"))</f>
        <v/>
      </c>
      <c r="O29" s="30"/>
      <c r="P29" s="30"/>
      <c r="Q29" s="28" t="str">
        <f t="shared" si="6"/>
        <v/>
      </c>
      <c r="R29" s="28" t="str">
        <f t="shared" si="7"/>
        <v/>
      </c>
      <c r="S29" s="23" t="str">
        <f>IF(R29="","",IF(R29&gt;=Panduan!$B$4,"Terserap","Perlu Evaluasi"))</f>
        <v/>
      </c>
      <c r="T29" s="30"/>
      <c r="U29" s="30"/>
      <c r="V29" s="28" t="str">
        <f t="shared" si="8"/>
        <v/>
      </c>
      <c r="W29" s="28" t="str">
        <f t="shared" si="9"/>
        <v/>
      </c>
      <c r="X29" s="23" t="str">
        <f>IF(W29="","",IF(W29&gt;=Panduan!$B$4,"Terserap","Perlu Evaluasi"))</f>
        <v/>
      </c>
      <c r="Y29" s="30"/>
      <c r="Z29" s="30"/>
      <c r="AA29" s="28" t="str">
        <f t="shared" si="10"/>
        <v/>
      </c>
      <c r="AB29" s="28" t="str">
        <f t="shared" si="11"/>
        <v/>
      </c>
      <c r="AC29" s="23" t="str">
        <f>IF(AB29="","",IF(AB29&gt;=Panduan!$B$4,"Terserap","Perlu Evaluasi"))</f>
        <v/>
      </c>
      <c r="AD29" s="30"/>
      <c r="AE29" s="30"/>
      <c r="AF29" s="28" t="str">
        <f t="shared" si="12"/>
        <v/>
      </c>
      <c r="AG29" s="28" t="str">
        <f t="shared" si="13"/>
        <v/>
      </c>
      <c r="AH29" s="23" t="str">
        <f>IF(AG29="","",IF(AG29&gt;=Panduan!$B$4,"Terserap","Perlu Evaluasi"))</f>
        <v/>
      </c>
      <c r="AI29" s="29" t="str">
        <f t="shared" ref="AI29:AJ29" si="38">IF(COUNTA(J29,O29,T29,Y29,AD29)=0,"",SUM(J29,O29,T29,Y29,AD29))</f>
        <v/>
      </c>
      <c r="AJ29" s="29" t="str">
        <f t="shared" si="38"/>
        <v/>
      </c>
      <c r="AK29" s="28" t="str">
        <f t="shared" si="15"/>
        <v/>
      </c>
      <c r="AL29" s="28" t="str">
        <f t="shared" si="16"/>
        <v/>
      </c>
      <c r="AM29" s="23" t="str">
        <f>IF(AL29="","",IF(AL29&gt;=Panduan!$B$4,"Terserap","Perlu Evaluasi"))</f>
        <v/>
      </c>
    </row>
    <row r="30" ht="15.75" customHeight="1">
      <c r="A30" s="23" t="str">
        <f t="shared" si="2"/>
        <v/>
      </c>
      <c r="B30" s="33"/>
      <c r="C30" s="23" t="str">
        <f t="shared" si="3"/>
        <v/>
      </c>
      <c r="D30" s="31"/>
      <c r="E30" s="31"/>
      <c r="F30" s="31"/>
      <c r="G30" s="31"/>
      <c r="H30" s="31"/>
      <c r="I30" s="32"/>
      <c r="J30" s="30"/>
      <c r="K30" s="30"/>
      <c r="L30" s="28" t="str">
        <f t="shared" si="4"/>
        <v/>
      </c>
      <c r="M30" s="28" t="str">
        <f t="shared" si="5"/>
        <v/>
      </c>
      <c r="N30" s="23" t="str">
        <f>IF(M30="","",IF(M30&gt;=Panduan!$B$4,"Terserap","Perlu Evaluasi"))</f>
        <v/>
      </c>
      <c r="O30" s="30"/>
      <c r="P30" s="30"/>
      <c r="Q30" s="28" t="str">
        <f t="shared" si="6"/>
        <v/>
      </c>
      <c r="R30" s="28" t="str">
        <f t="shared" si="7"/>
        <v/>
      </c>
      <c r="S30" s="23" t="str">
        <f>IF(R30="","",IF(R30&gt;=Panduan!$B$4,"Terserap","Perlu Evaluasi"))</f>
        <v/>
      </c>
      <c r="T30" s="30"/>
      <c r="U30" s="30"/>
      <c r="V30" s="28" t="str">
        <f t="shared" si="8"/>
        <v/>
      </c>
      <c r="W30" s="28" t="str">
        <f t="shared" si="9"/>
        <v/>
      </c>
      <c r="X30" s="23" t="str">
        <f>IF(W30="","",IF(W30&gt;=Panduan!$B$4,"Terserap","Perlu Evaluasi"))</f>
        <v/>
      </c>
      <c r="Y30" s="30"/>
      <c r="Z30" s="30"/>
      <c r="AA30" s="28" t="str">
        <f t="shared" si="10"/>
        <v/>
      </c>
      <c r="AB30" s="28" t="str">
        <f t="shared" si="11"/>
        <v/>
      </c>
      <c r="AC30" s="23" t="str">
        <f>IF(AB30="","",IF(AB30&gt;=Panduan!$B$4,"Terserap","Perlu Evaluasi"))</f>
        <v/>
      </c>
      <c r="AD30" s="30"/>
      <c r="AE30" s="30"/>
      <c r="AF30" s="28" t="str">
        <f t="shared" si="12"/>
        <v/>
      </c>
      <c r="AG30" s="28" t="str">
        <f t="shared" si="13"/>
        <v/>
      </c>
      <c r="AH30" s="23" t="str">
        <f>IF(AG30="","",IF(AG30&gt;=Panduan!$B$4,"Terserap","Perlu Evaluasi"))</f>
        <v/>
      </c>
      <c r="AI30" s="29" t="str">
        <f t="shared" ref="AI30:AJ30" si="39">IF(COUNTA(J30,O30,T30,Y30,AD30)=0,"",SUM(J30,O30,T30,Y30,AD30))</f>
        <v/>
      </c>
      <c r="AJ30" s="29" t="str">
        <f t="shared" si="39"/>
        <v/>
      </c>
      <c r="AK30" s="28" t="str">
        <f t="shared" si="15"/>
        <v/>
      </c>
      <c r="AL30" s="28" t="str">
        <f t="shared" si="16"/>
        <v/>
      </c>
      <c r="AM30" s="23" t="str">
        <f>IF(AL30="","",IF(AL30&gt;=Panduan!$B$4,"Terserap","Perlu Evaluasi"))</f>
        <v/>
      </c>
    </row>
    <row r="31" ht="15.75" customHeight="1">
      <c r="A31" s="23" t="str">
        <f t="shared" si="2"/>
        <v/>
      </c>
      <c r="B31" s="33"/>
      <c r="C31" s="23" t="str">
        <f t="shared" si="3"/>
        <v/>
      </c>
      <c r="D31" s="31"/>
      <c r="E31" s="31"/>
      <c r="F31" s="31"/>
      <c r="G31" s="31"/>
      <c r="H31" s="31"/>
      <c r="I31" s="32"/>
      <c r="J31" s="30"/>
      <c r="K31" s="30"/>
      <c r="L31" s="28" t="str">
        <f t="shared" si="4"/>
        <v/>
      </c>
      <c r="M31" s="28" t="str">
        <f t="shared" si="5"/>
        <v/>
      </c>
      <c r="N31" s="23" t="str">
        <f>IF(M31="","",IF(M31&gt;=Panduan!$B$4,"Terserap","Perlu Evaluasi"))</f>
        <v/>
      </c>
      <c r="O31" s="30"/>
      <c r="P31" s="30"/>
      <c r="Q31" s="28" t="str">
        <f t="shared" si="6"/>
        <v/>
      </c>
      <c r="R31" s="28" t="str">
        <f t="shared" si="7"/>
        <v/>
      </c>
      <c r="S31" s="23" t="str">
        <f>IF(R31="","",IF(R31&gt;=Panduan!$B$4,"Terserap","Perlu Evaluasi"))</f>
        <v/>
      </c>
      <c r="T31" s="30"/>
      <c r="U31" s="30"/>
      <c r="V31" s="28" t="str">
        <f t="shared" si="8"/>
        <v/>
      </c>
      <c r="W31" s="28" t="str">
        <f t="shared" si="9"/>
        <v/>
      </c>
      <c r="X31" s="23" t="str">
        <f>IF(W31="","",IF(W31&gt;=Panduan!$B$4,"Terserap","Perlu Evaluasi"))</f>
        <v/>
      </c>
      <c r="Y31" s="30"/>
      <c r="Z31" s="30"/>
      <c r="AA31" s="28" t="str">
        <f t="shared" si="10"/>
        <v/>
      </c>
      <c r="AB31" s="28" t="str">
        <f t="shared" si="11"/>
        <v/>
      </c>
      <c r="AC31" s="23" t="str">
        <f>IF(AB31="","",IF(AB31&gt;=Panduan!$B$4,"Terserap","Perlu Evaluasi"))</f>
        <v/>
      </c>
      <c r="AD31" s="30"/>
      <c r="AE31" s="30"/>
      <c r="AF31" s="28" t="str">
        <f t="shared" si="12"/>
        <v/>
      </c>
      <c r="AG31" s="28" t="str">
        <f t="shared" si="13"/>
        <v/>
      </c>
      <c r="AH31" s="23" t="str">
        <f>IF(AG31="","",IF(AG31&gt;=Panduan!$B$4,"Terserap","Perlu Evaluasi"))</f>
        <v/>
      </c>
      <c r="AI31" s="29" t="str">
        <f t="shared" ref="AI31:AJ31" si="40">IF(COUNTA(J31,O31,T31,Y31,AD31)=0,"",SUM(J31,O31,T31,Y31,AD31))</f>
        <v/>
      </c>
      <c r="AJ31" s="29" t="str">
        <f t="shared" si="40"/>
        <v/>
      </c>
      <c r="AK31" s="28" t="str">
        <f t="shared" si="15"/>
        <v/>
      </c>
      <c r="AL31" s="28" t="str">
        <f t="shared" si="16"/>
        <v/>
      </c>
      <c r="AM31" s="23" t="str">
        <f>IF(AL31="","",IF(AL31&gt;=Panduan!$B$4,"Terserap","Perlu Evaluasi"))</f>
        <v/>
      </c>
    </row>
    <row r="32" ht="15.75" customHeight="1">
      <c r="A32" s="23" t="str">
        <f t="shared" si="2"/>
        <v/>
      </c>
      <c r="B32" s="33"/>
      <c r="C32" s="23" t="str">
        <f t="shared" si="3"/>
        <v/>
      </c>
      <c r="D32" s="31"/>
      <c r="E32" s="31"/>
      <c r="F32" s="31"/>
      <c r="G32" s="31"/>
      <c r="H32" s="31"/>
      <c r="I32" s="32"/>
      <c r="J32" s="30"/>
      <c r="K32" s="30"/>
      <c r="L32" s="28" t="str">
        <f t="shared" si="4"/>
        <v/>
      </c>
      <c r="M32" s="28" t="str">
        <f t="shared" si="5"/>
        <v/>
      </c>
      <c r="N32" s="23" t="str">
        <f>IF(M32="","",IF(M32&gt;=Panduan!$B$4,"Terserap","Perlu Evaluasi"))</f>
        <v/>
      </c>
      <c r="O32" s="30"/>
      <c r="P32" s="30"/>
      <c r="Q32" s="28" t="str">
        <f t="shared" si="6"/>
        <v/>
      </c>
      <c r="R32" s="28" t="str">
        <f t="shared" si="7"/>
        <v/>
      </c>
      <c r="S32" s="23" t="str">
        <f>IF(R32="","",IF(R32&gt;=Panduan!$B$4,"Terserap","Perlu Evaluasi"))</f>
        <v/>
      </c>
      <c r="T32" s="30"/>
      <c r="U32" s="30"/>
      <c r="V32" s="28" t="str">
        <f t="shared" si="8"/>
        <v/>
      </c>
      <c r="W32" s="28" t="str">
        <f t="shared" si="9"/>
        <v/>
      </c>
      <c r="X32" s="23" t="str">
        <f>IF(W32="","",IF(W32&gt;=Panduan!$B$4,"Terserap","Perlu Evaluasi"))</f>
        <v/>
      </c>
      <c r="Y32" s="30"/>
      <c r="Z32" s="30"/>
      <c r="AA32" s="28" t="str">
        <f t="shared" si="10"/>
        <v/>
      </c>
      <c r="AB32" s="28" t="str">
        <f t="shared" si="11"/>
        <v/>
      </c>
      <c r="AC32" s="23" t="str">
        <f>IF(AB32="","",IF(AB32&gt;=Panduan!$B$4,"Terserap","Perlu Evaluasi"))</f>
        <v/>
      </c>
      <c r="AD32" s="30"/>
      <c r="AE32" s="30"/>
      <c r="AF32" s="28" t="str">
        <f t="shared" si="12"/>
        <v/>
      </c>
      <c r="AG32" s="28" t="str">
        <f t="shared" si="13"/>
        <v/>
      </c>
      <c r="AH32" s="23" t="str">
        <f>IF(AG32="","",IF(AG32&gt;=Panduan!$B$4,"Terserap","Perlu Evaluasi"))</f>
        <v/>
      </c>
      <c r="AI32" s="29" t="str">
        <f t="shared" ref="AI32:AJ32" si="41">IF(COUNTA(J32,O32,T32,Y32,AD32)=0,"",SUM(J32,O32,T32,Y32,AD32))</f>
        <v/>
      </c>
      <c r="AJ32" s="29" t="str">
        <f t="shared" si="41"/>
        <v/>
      </c>
      <c r="AK32" s="28" t="str">
        <f t="shared" si="15"/>
        <v/>
      </c>
      <c r="AL32" s="28" t="str">
        <f t="shared" si="16"/>
        <v/>
      </c>
      <c r="AM32" s="23" t="str">
        <f>IF(AL32="","",IF(AL32&gt;=Panduan!$B$4,"Terserap","Perlu Evaluasi"))</f>
        <v/>
      </c>
    </row>
    <row r="33" ht="15.75" customHeight="1">
      <c r="A33" s="23" t="str">
        <f t="shared" si="2"/>
        <v/>
      </c>
      <c r="B33" s="33"/>
      <c r="C33" s="23" t="str">
        <f t="shared" si="3"/>
        <v/>
      </c>
      <c r="D33" s="31"/>
      <c r="E33" s="31"/>
      <c r="F33" s="31"/>
      <c r="G33" s="31"/>
      <c r="H33" s="31"/>
      <c r="I33" s="32"/>
      <c r="J33" s="30"/>
      <c r="K33" s="30"/>
      <c r="L33" s="28" t="str">
        <f t="shared" si="4"/>
        <v/>
      </c>
      <c r="M33" s="28" t="str">
        <f t="shared" si="5"/>
        <v/>
      </c>
      <c r="N33" s="23" t="str">
        <f>IF(M33="","",IF(M33&gt;=Panduan!$B$4,"Terserap","Perlu Evaluasi"))</f>
        <v/>
      </c>
      <c r="O33" s="30"/>
      <c r="P33" s="30"/>
      <c r="Q33" s="28" t="str">
        <f t="shared" si="6"/>
        <v/>
      </c>
      <c r="R33" s="28" t="str">
        <f t="shared" si="7"/>
        <v/>
      </c>
      <c r="S33" s="23" t="str">
        <f>IF(R33="","",IF(R33&gt;=Panduan!$B$4,"Terserap","Perlu Evaluasi"))</f>
        <v/>
      </c>
      <c r="T33" s="30"/>
      <c r="U33" s="30"/>
      <c r="V33" s="28" t="str">
        <f t="shared" si="8"/>
        <v/>
      </c>
      <c r="W33" s="28" t="str">
        <f t="shared" si="9"/>
        <v/>
      </c>
      <c r="X33" s="23" t="str">
        <f>IF(W33="","",IF(W33&gt;=Panduan!$B$4,"Terserap","Perlu Evaluasi"))</f>
        <v/>
      </c>
      <c r="Y33" s="30"/>
      <c r="Z33" s="30"/>
      <c r="AA33" s="28" t="str">
        <f t="shared" si="10"/>
        <v/>
      </c>
      <c r="AB33" s="28" t="str">
        <f t="shared" si="11"/>
        <v/>
      </c>
      <c r="AC33" s="23" t="str">
        <f>IF(AB33="","",IF(AB33&gt;=Panduan!$B$4,"Terserap","Perlu Evaluasi"))</f>
        <v/>
      </c>
      <c r="AD33" s="30"/>
      <c r="AE33" s="30"/>
      <c r="AF33" s="28" t="str">
        <f t="shared" si="12"/>
        <v/>
      </c>
      <c r="AG33" s="28" t="str">
        <f t="shared" si="13"/>
        <v/>
      </c>
      <c r="AH33" s="23" t="str">
        <f>IF(AG33="","",IF(AG33&gt;=Panduan!$B$4,"Terserap","Perlu Evaluasi"))</f>
        <v/>
      </c>
      <c r="AI33" s="29" t="str">
        <f t="shared" ref="AI33:AJ33" si="42">IF(COUNTA(J33,O33,T33,Y33,AD33)=0,"",SUM(J33,O33,T33,Y33,AD33))</f>
        <v/>
      </c>
      <c r="AJ33" s="29" t="str">
        <f t="shared" si="42"/>
        <v/>
      </c>
      <c r="AK33" s="28" t="str">
        <f t="shared" si="15"/>
        <v/>
      </c>
      <c r="AL33" s="28" t="str">
        <f t="shared" si="16"/>
        <v/>
      </c>
      <c r="AM33" s="23" t="str">
        <f>IF(AL33="","",IF(AL33&gt;=Panduan!$B$4,"Terserap","Perlu Evaluasi"))</f>
        <v/>
      </c>
    </row>
    <row r="34" ht="15.75" customHeight="1">
      <c r="A34" s="23" t="str">
        <f t="shared" si="2"/>
        <v/>
      </c>
      <c r="B34" s="33"/>
      <c r="C34" s="23" t="str">
        <f t="shared" si="3"/>
        <v/>
      </c>
      <c r="D34" s="31"/>
      <c r="E34" s="31"/>
      <c r="F34" s="31"/>
      <c r="G34" s="31"/>
      <c r="H34" s="31"/>
      <c r="I34" s="32"/>
      <c r="J34" s="30"/>
      <c r="K34" s="30"/>
      <c r="L34" s="28" t="str">
        <f t="shared" si="4"/>
        <v/>
      </c>
      <c r="M34" s="28" t="str">
        <f t="shared" si="5"/>
        <v/>
      </c>
      <c r="N34" s="23" t="str">
        <f>IF(M34="","",IF(M34&gt;=Panduan!$B$4,"Terserap","Perlu Evaluasi"))</f>
        <v/>
      </c>
      <c r="O34" s="30"/>
      <c r="P34" s="30"/>
      <c r="Q34" s="28" t="str">
        <f t="shared" si="6"/>
        <v/>
      </c>
      <c r="R34" s="28" t="str">
        <f t="shared" si="7"/>
        <v/>
      </c>
      <c r="S34" s="23" t="str">
        <f>IF(R34="","",IF(R34&gt;=Panduan!$B$4,"Terserap","Perlu Evaluasi"))</f>
        <v/>
      </c>
      <c r="T34" s="30"/>
      <c r="U34" s="30"/>
      <c r="V34" s="28" t="str">
        <f t="shared" si="8"/>
        <v/>
      </c>
      <c r="W34" s="28" t="str">
        <f t="shared" si="9"/>
        <v/>
      </c>
      <c r="X34" s="23" t="str">
        <f>IF(W34="","",IF(W34&gt;=Panduan!$B$4,"Terserap","Perlu Evaluasi"))</f>
        <v/>
      </c>
      <c r="Y34" s="30"/>
      <c r="Z34" s="30"/>
      <c r="AA34" s="28" t="str">
        <f t="shared" si="10"/>
        <v/>
      </c>
      <c r="AB34" s="28" t="str">
        <f t="shared" si="11"/>
        <v/>
      </c>
      <c r="AC34" s="23" t="str">
        <f>IF(AB34="","",IF(AB34&gt;=Panduan!$B$4,"Terserap","Perlu Evaluasi"))</f>
        <v/>
      </c>
      <c r="AD34" s="30"/>
      <c r="AE34" s="30"/>
      <c r="AF34" s="28" t="str">
        <f t="shared" si="12"/>
        <v/>
      </c>
      <c r="AG34" s="28" t="str">
        <f t="shared" si="13"/>
        <v/>
      </c>
      <c r="AH34" s="23" t="str">
        <f>IF(AG34="","",IF(AG34&gt;=Panduan!$B$4,"Terserap","Perlu Evaluasi"))</f>
        <v/>
      </c>
      <c r="AI34" s="29" t="str">
        <f t="shared" ref="AI34:AJ34" si="43">IF(COUNTA(J34,O34,T34,Y34,AD34)=0,"",SUM(J34,O34,T34,Y34,AD34))</f>
        <v/>
      </c>
      <c r="AJ34" s="29" t="str">
        <f t="shared" si="43"/>
        <v/>
      </c>
      <c r="AK34" s="28" t="str">
        <f t="shared" si="15"/>
        <v/>
      </c>
      <c r="AL34" s="28" t="str">
        <f t="shared" si="16"/>
        <v/>
      </c>
      <c r="AM34" s="23" t="str">
        <f>IF(AL34="","",IF(AL34&gt;=Panduan!$B$4,"Terserap","Perlu Evaluasi"))</f>
        <v/>
      </c>
    </row>
    <row r="35" ht="15.75" customHeight="1">
      <c r="A35" s="23" t="str">
        <f t="shared" si="2"/>
        <v/>
      </c>
      <c r="B35" s="33"/>
      <c r="C35" s="23" t="str">
        <f t="shared" si="3"/>
        <v/>
      </c>
      <c r="D35" s="31"/>
      <c r="E35" s="31"/>
      <c r="F35" s="31"/>
      <c r="G35" s="31"/>
      <c r="H35" s="31"/>
      <c r="I35" s="32"/>
      <c r="J35" s="30"/>
      <c r="K35" s="30"/>
      <c r="L35" s="28" t="str">
        <f t="shared" si="4"/>
        <v/>
      </c>
      <c r="M35" s="28" t="str">
        <f t="shared" si="5"/>
        <v/>
      </c>
      <c r="N35" s="23" t="str">
        <f>IF(M35="","",IF(M35&gt;=Panduan!$B$4,"Terserap","Perlu Evaluasi"))</f>
        <v/>
      </c>
      <c r="O35" s="30"/>
      <c r="P35" s="30"/>
      <c r="Q35" s="28" t="str">
        <f t="shared" si="6"/>
        <v/>
      </c>
      <c r="R35" s="28" t="str">
        <f t="shared" si="7"/>
        <v/>
      </c>
      <c r="S35" s="23" t="str">
        <f>IF(R35="","",IF(R35&gt;=Panduan!$B$4,"Terserap","Perlu Evaluasi"))</f>
        <v/>
      </c>
      <c r="T35" s="30"/>
      <c r="U35" s="30"/>
      <c r="V35" s="28" t="str">
        <f t="shared" si="8"/>
        <v/>
      </c>
      <c r="W35" s="28" t="str">
        <f t="shared" si="9"/>
        <v/>
      </c>
      <c r="X35" s="23" t="str">
        <f>IF(W35="","",IF(W35&gt;=Panduan!$B$4,"Terserap","Perlu Evaluasi"))</f>
        <v/>
      </c>
      <c r="Y35" s="30"/>
      <c r="Z35" s="30"/>
      <c r="AA35" s="28" t="str">
        <f t="shared" si="10"/>
        <v/>
      </c>
      <c r="AB35" s="28" t="str">
        <f t="shared" si="11"/>
        <v/>
      </c>
      <c r="AC35" s="23" t="str">
        <f>IF(AB35="","",IF(AB35&gt;=Panduan!$B$4,"Terserap","Perlu Evaluasi"))</f>
        <v/>
      </c>
      <c r="AD35" s="30"/>
      <c r="AE35" s="30"/>
      <c r="AF35" s="28" t="str">
        <f t="shared" si="12"/>
        <v/>
      </c>
      <c r="AG35" s="28" t="str">
        <f t="shared" si="13"/>
        <v/>
      </c>
      <c r="AH35" s="23" t="str">
        <f>IF(AG35="","",IF(AG35&gt;=Panduan!$B$4,"Terserap","Perlu Evaluasi"))</f>
        <v/>
      </c>
      <c r="AI35" s="29" t="str">
        <f t="shared" ref="AI35:AJ35" si="44">IF(COUNTA(J35,O35,T35,Y35,AD35)=0,"",SUM(J35,O35,T35,Y35,AD35))</f>
        <v/>
      </c>
      <c r="AJ35" s="29" t="str">
        <f t="shared" si="44"/>
        <v/>
      </c>
      <c r="AK35" s="28" t="str">
        <f t="shared" si="15"/>
        <v/>
      </c>
      <c r="AL35" s="28" t="str">
        <f t="shared" si="16"/>
        <v/>
      </c>
      <c r="AM35" s="23" t="str">
        <f>IF(AL35="","",IF(AL35&gt;=Panduan!$B$4,"Terserap","Perlu Evaluasi"))</f>
        <v/>
      </c>
    </row>
    <row r="36" ht="15.75" customHeight="1">
      <c r="A36" s="23" t="str">
        <f t="shared" si="2"/>
        <v/>
      </c>
      <c r="B36" s="33"/>
      <c r="C36" s="23" t="str">
        <f t="shared" si="3"/>
        <v/>
      </c>
      <c r="D36" s="31"/>
      <c r="E36" s="31"/>
      <c r="F36" s="31"/>
      <c r="G36" s="31"/>
      <c r="H36" s="31"/>
      <c r="I36" s="32"/>
      <c r="J36" s="30"/>
      <c r="K36" s="30"/>
      <c r="L36" s="28" t="str">
        <f t="shared" si="4"/>
        <v/>
      </c>
      <c r="M36" s="28" t="str">
        <f t="shared" si="5"/>
        <v/>
      </c>
      <c r="N36" s="23" t="str">
        <f>IF(M36="","",IF(M36&gt;=Panduan!$B$4,"Terserap","Perlu Evaluasi"))</f>
        <v/>
      </c>
      <c r="O36" s="30"/>
      <c r="P36" s="30"/>
      <c r="Q36" s="28" t="str">
        <f t="shared" si="6"/>
        <v/>
      </c>
      <c r="R36" s="28" t="str">
        <f t="shared" si="7"/>
        <v/>
      </c>
      <c r="S36" s="23" t="str">
        <f>IF(R36="","",IF(R36&gt;=Panduan!$B$4,"Terserap","Perlu Evaluasi"))</f>
        <v/>
      </c>
      <c r="T36" s="30"/>
      <c r="U36" s="30"/>
      <c r="V36" s="28" t="str">
        <f t="shared" si="8"/>
        <v/>
      </c>
      <c r="W36" s="28" t="str">
        <f t="shared" si="9"/>
        <v/>
      </c>
      <c r="X36" s="23" t="str">
        <f>IF(W36="","",IF(W36&gt;=Panduan!$B$4,"Terserap","Perlu Evaluasi"))</f>
        <v/>
      </c>
      <c r="Y36" s="30"/>
      <c r="Z36" s="30"/>
      <c r="AA36" s="28" t="str">
        <f t="shared" si="10"/>
        <v/>
      </c>
      <c r="AB36" s="28" t="str">
        <f t="shared" si="11"/>
        <v/>
      </c>
      <c r="AC36" s="23" t="str">
        <f>IF(AB36="","",IF(AB36&gt;=Panduan!$B$4,"Terserap","Perlu Evaluasi"))</f>
        <v/>
      </c>
      <c r="AD36" s="30"/>
      <c r="AE36" s="30"/>
      <c r="AF36" s="28" t="str">
        <f t="shared" si="12"/>
        <v/>
      </c>
      <c r="AG36" s="28" t="str">
        <f t="shared" si="13"/>
        <v/>
      </c>
      <c r="AH36" s="23" t="str">
        <f>IF(AG36="","",IF(AG36&gt;=Panduan!$B$4,"Terserap","Perlu Evaluasi"))</f>
        <v/>
      </c>
      <c r="AI36" s="29" t="str">
        <f t="shared" ref="AI36:AJ36" si="45">IF(COUNTA(J36,O36,T36,Y36,AD36)=0,"",SUM(J36,O36,T36,Y36,AD36))</f>
        <v/>
      </c>
      <c r="AJ36" s="29" t="str">
        <f t="shared" si="45"/>
        <v/>
      </c>
      <c r="AK36" s="28" t="str">
        <f t="shared" si="15"/>
        <v/>
      </c>
      <c r="AL36" s="28" t="str">
        <f t="shared" si="16"/>
        <v/>
      </c>
      <c r="AM36" s="23" t="str">
        <f>IF(AL36="","",IF(AL36&gt;=Panduan!$B$4,"Terserap","Perlu Evaluasi"))</f>
        <v/>
      </c>
    </row>
    <row r="37" ht="15.75" customHeight="1">
      <c r="A37" s="23" t="str">
        <f t="shared" si="2"/>
        <v/>
      </c>
      <c r="B37" s="33"/>
      <c r="C37" s="23" t="str">
        <f t="shared" si="3"/>
        <v/>
      </c>
      <c r="D37" s="31"/>
      <c r="E37" s="31"/>
      <c r="F37" s="31"/>
      <c r="G37" s="31"/>
      <c r="H37" s="31"/>
      <c r="I37" s="32"/>
      <c r="J37" s="30"/>
      <c r="K37" s="30"/>
      <c r="L37" s="28" t="str">
        <f t="shared" si="4"/>
        <v/>
      </c>
      <c r="M37" s="28" t="str">
        <f t="shared" si="5"/>
        <v/>
      </c>
      <c r="N37" s="23" t="str">
        <f>IF(M37="","",IF(M37&gt;=Panduan!$B$4,"Terserap","Perlu Evaluasi"))</f>
        <v/>
      </c>
      <c r="O37" s="30"/>
      <c r="P37" s="30"/>
      <c r="Q37" s="28" t="str">
        <f t="shared" si="6"/>
        <v/>
      </c>
      <c r="R37" s="28" t="str">
        <f t="shared" si="7"/>
        <v/>
      </c>
      <c r="S37" s="23" t="str">
        <f>IF(R37="","",IF(R37&gt;=Panduan!$B$4,"Terserap","Perlu Evaluasi"))</f>
        <v/>
      </c>
      <c r="T37" s="30"/>
      <c r="U37" s="30"/>
      <c r="V37" s="28" t="str">
        <f t="shared" si="8"/>
        <v/>
      </c>
      <c r="W37" s="28" t="str">
        <f t="shared" si="9"/>
        <v/>
      </c>
      <c r="X37" s="23" t="str">
        <f>IF(W37="","",IF(W37&gt;=Panduan!$B$4,"Terserap","Perlu Evaluasi"))</f>
        <v/>
      </c>
      <c r="Y37" s="30"/>
      <c r="Z37" s="30"/>
      <c r="AA37" s="28" t="str">
        <f t="shared" si="10"/>
        <v/>
      </c>
      <c r="AB37" s="28" t="str">
        <f t="shared" si="11"/>
        <v/>
      </c>
      <c r="AC37" s="23" t="str">
        <f>IF(AB37="","",IF(AB37&gt;=Panduan!$B$4,"Terserap","Perlu Evaluasi"))</f>
        <v/>
      </c>
      <c r="AD37" s="30"/>
      <c r="AE37" s="30"/>
      <c r="AF37" s="28" t="str">
        <f t="shared" si="12"/>
        <v/>
      </c>
      <c r="AG37" s="28" t="str">
        <f t="shared" si="13"/>
        <v/>
      </c>
      <c r="AH37" s="23" t="str">
        <f>IF(AG37="","",IF(AG37&gt;=Panduan!$B$4,"Terserap","Perlu Evaluasi"))</f>
        <v/>
      </c>
      <c r="AI37" s="29" t="str">
        <f t="shared" ref="AI37:AJ37" si="46">IF(COUNTA(J37,O37,T37,Y37,AD37)=0,"",SUM(J37,O37,T37,Y37,AD37))</f>
        <v/>
      </c>
      <c r="AJ37" s="29" t="str">
        <f t="shared" si="46"/>
        <v/>
      </c>
      <c r="AK37" s="28" t="str">
        <f t="shared" si="15"/>
        <v/>
      </c>
      <c r="AL37" s="28" t="str">
        <f t="shared" si="16"/>
        <v/>
      </c>
      <c r="AM37" s="23" t="str">
        <f>IF(AL37="","",IF(AL37&gt;=Panduan!$B$4,"Terserap","Perlu Evaluasi"))</f>
        <v/>
      </c>
    </row>
    <row r="38" ht="15.75" customHeight="1">
      <c r="A38" s="23" t="str">
        <f t="shared" si="2"/>
        <v/>
      </c>
      <c r="B38" s="33"/>
      <c r="C38" s="23" t="str">
        <f t="shared" si="3"/>
        <v/>
      </c>
      <c r="D38" s="31"/>
      <c r="E38" s="31"/>
      <c r="F38" s="31"/>
      <c r="G38" s="31"/>
      <c r="H38" s="31"/>
      <c r="I38" s="32"/>
      <c r="J38" s="30"/>
      <c r="K38" s="30"/>
      <c r="L38" s="28" t="str">
        <f t="shared" si="4"/>
        <v/>
      </c>
      <c r="M38" s="28" t="str">
        <f t="shared" si="5"/>
        <v/>
      </c>
      <c r="N38" s="23" t="str">
        <f>IF(M38="","",IF(M38&gt;=Panduan!$B$4,"Terserap","Perlu Evaluasi"))</f>
        <v/>
      </c>
      <c r="O38" s="30"/>
      <c r="P38" s="30"/>
      <c r="Q38" s="28" t="str">
        <f t="shared" si="6"/>
        <v/>
      </c>
      <c r="R38" s="28" t="str">
        <f t="shared" si="7"/>
        <v/>
      </c>
      <c r="S38" s="23" t="str">
        <f>IF(R38="","",IF(R38&gt;=Panduan!$B$4,"Terserap","Perlu Evaluasi"))</f>
        <v/>
      </c>
      <c r="T38" s="30"/>
      <c r="U38" s="30"/>
      <c r="V38" s="28" t="str">
        <f t="shared" si="8"/>
        <v/>
      </c>
      <c r="W38" s="28" t="str">
        <f t="shared" si="9"/>
        <v/>
      </c>
      <c r="X38" s="23" t="str">
        <f>IF(W38="","",IF(W38&gt;=Panduan!$B$4,"Terserap","Perlu Evaluasi"))</f>
        <v/>
      </c>
      <c r="Y38" s="30"/>
      <c r="Z38" s="30"/>
      <c r="AA38" s="28" t="str">
        <f t="shared" si="10"/>
        <v/>
      </c>
      <c r="AB38" s="28" t="str">
        <f t="shared" si="11"/>
        <v/>
      </c>
      <c r="AC38" s="23" t="str">
        <f>IF(AB38="","",IF(AB38&gt;=Panduan!$B$4,"Terserap","Perlu Evaluasi"))</f>
        <v/>
      </c>
      <c r="AD38" s="30"/>
      <c r="AE38" s="30"/>
      <c r="AF38" s="28" t="str">
        <f t="shared" si="12"/>
        <v/>
      </c>
      <c r="AG38" s="28" t="str">
        <f t="shared" si="13"/>
        <v/>
      </c>
      <c r="AH38" s="23" t="str">
        <f>IF(AG38="","",IF(AG38&gt;=Panduan!$B$4,"Terserap","Perlu Evaluasi"))</f>
        <v/>
      </c>
      <c r="AI38" s="29" t="str">
        <f t="shared" ref="AI38:AJ38" si="47">IF(COUNTA(J38,O38,T38,Y38,AD38)=0,"",SUM(J38,O38,T38,Y38,AD38))</f>
        <v/>
      </c>
      <c r="AJ38" s="29" t="str">
        <f t="shared" si="47"/>
        <v/>
      </c>
      <c r="AK38" s="28" t="str">
        <f t="shared" si="15"/>
        <v/>
      </c>
      <c r="AL38" s="28" t="str">
        <f t="shared" si="16"/>
        <v/>
      </c>
      <c r="AM38" s="23" t="str">
        <f>IF(AL38="","",IF(AL38&gt;=Panduan!$B$4,"Terserap","Perlu Evaluasi"))</f>
        <v/>
      </c>
    </row>
    <row r="39" ht="15.75" customHeight="1">
      <c r="A39" s="23" t="str">
        <f t="shared" si="2"/>
        <v/>
      </c>
      <c r="B39" s="33"/>
      <c r="C39" s="23" t="str">
        <f t="shared" si="3"/>
        <v/>
      </c>
      <c r="D39" s="31"/>
      <c r="E39" s="31"/>
      <c r="F39" s="31"/>
      <c r="G39" s="31"/>
      <c r="H39" s="31"/>
      <c r="I39" s="32"/>
      <c r="J39" s="30"/>
      <c r="K39" s="30"/>
      <c r="L39" s="28" t="str">
        <f t="shared" si="4"/>
        <v/>
      </c>
      <c r="M39" s="28" t="str">
        <f t="shared" si="5"/>
        <v/>
      </c>
      <c r="N39" s="23" t="str">
        <f>IF(M39="","",IF(M39&gt;=Panduan!$B$4,"Terserap","Perlu Evaluasi"))</f>
        <v/>
      </c>
      <c r="O39" s="30"/>
      <c r="P39" s="30"/>
      <c r="Q39" s="28" t="str">
        <f t="shared" si="6"/>
        <v/>
      </c>
      <c r="R39" s="28" t="str">
        <f t="shared" si="7"/>
        <v/>
      </c>
      <c r="S39" s="23" t="str">
        <f>IF(R39="","",IF(R39&gt;=Panduan!$B$4,"Terserap","Perlu Evaluasi"))</f>
        <v/>
      </c>
      <c r="T39" s="30"/>
      <c r="U39" s="30"/>
      <c r="V39" s="28" t="str">
        <f t="shared" si="8"/>
        <v/>
      </c>
      <c r="W39" s="28" t="str">
        <f t="shared" si="9"/>
        <v/>
      </c>
      <c r="X39" s="23" t="str">
        <f>IF(W39="","",IF(W39&gt;=Panduan!$B$4,"Terserap","Perlu Evaluasi"))</f>
        <v/>
      </c>
      <c r="Y39" s="30"/>
      <c r="Z39" s="30"/>
      <c r="AA39" s="28" t="str">
        <f t="shared" si="10"/>
        <v/>
      </c>
      <c r="AB39" s="28" t="str">
        <f t="shared" si="11"/>
        <v/>
      </c>
      <c r="AC39" s="23" t="str">
        <f>IF(AB39="","",IF(AB39&gt;=Panduan!$B$4,"Terserap","Perlu Evaluasi"))</f>
        <v/>
      </c>
      <c r="AD39" s="30"/>
      <c r="AE39" s="30"/>
      <c r="AF39" s="28" t="str">
        <f t="shared" si="12"/>
        <v/>
      </c>
      <c r="AG39" s="28" t="str">
        <f t="shared" si="13"/>
        <v/>
      </c>
      <c r="AH39" s="23" t="str">
        <f>IF(AG39="","",IF(AG39&gt;=Panduan!$B$4,"Terserap","Perlu Evaluasi"))</f>
        <v/>
      </c>
      <c r="AI39" s="29" t="str">
        <f t="shared" ref="AI39:AJ39" si="48">IF(COUNTA(J39,O39,T39,Y39,AD39)=0,"",SUM(J39,O39,T39,Y39,AD39))</f>
        <v/>
      </c>
      <c r="AJ39" s="29" t="str">
        <f t="shared" si="48"/>
        <v/>
      </c>
      <c r="AK39" s="28" t="str">
        <f t="shared" si="15"/>
        <v/>
      </c>
      <c r="AL39" s="28" t="str">
        <f t="shared" si="16"/>
        <v/>
      </c>
      <c r="AM39" s="23" t="str">
        <f>IF(AL39="","",IF(AL39&gt;=Panduan!$B$4,"Terserap","Perlu Evaluasi"))</f>
        <v/>
      </c>
    </row>
    <row r="40" ht="15.75" customHeight="1">
      <c r="A40" s="23" t="str">
        <f t="shared" si="2"/>
        <v/>
      </c>
      <c r="B40" s="33"/>
      <c r="C40" s="23" t="str">
        <f t="shared" si="3"/>
        <v/>
      </c>
      <c r="D40" s="31"/>
      <c r="E40" s="31"/>
      <c r="F40" s="31"/>
      <c r="G40" s="31"/>
      <c r="H40" s="31"/>
      <c r="I40" s="32"/>
      <c r="J40" s="30"/>
      <c r="K40" s="30"/>
      <c r="L40" s="28" t="str">
        <f t="shared" si="4"/>
        <v/>
      </c>
      <c r="M40" s="28" t="str">
        <f t="shared" si="5"/>
        <v/>
      </c>
      <c r="N40" s="23" t="str">
        <f>IF(M40="","",IF(M40&gt;=Panduan!$B$4,"Terserap","Perlu Evaluasi"))</f>
        <v/>
      </c>
      <c r="O40" s="30"/>
      <c r="P40" s="30"/>
      <c r="Q40" s="28" t="str">
        <f t="shared" si="6"/>
        <v/>
      </c>
      <c r="R40" s="28" t="str">
        <f t="shared" si="7"/>
        <v/>
      </c>
      <c r="S40" s="23" t="str">
        <f>IF(R40="","",IF(R40&gt;=Panduan!$B$4,"Terserap","Perlu Evaluasi"))</f>
        <v/>
      </c>
      <c r="T40" s="30"/>
      <c r="U40" s="30"/>
      <c r="V40" s="28" t="str">
        <f t="shared" si="8"/>
        <v/>
      </c>
      <c r="W40" s="28" t="str">
        <f t="shared" si="9"/>
        <v/>
      </c>
      <c r="X40" s="23" t="str">
        <f>IF(W40="","",IF(W40&gt;=Panduan!$B$4,"Terserap","Perlu Evaluasi"))</f>
        <v/>
      </c>
      <c r="Y40" s="30"/>
      <c r="Z40" s="30"/>
      <c r="AA40" s="28" t="str">
        <f t="shared" si="10"/>
        <v/>
      </c>
      <c r="AB40" s="28" t="str">
        <f t="shared" si="11"/>
        <v/>
      </c>
      <c r="AC40" s="23" t="str">
        <f>IF(AB40="","",IF(AB40&gt;=Panduan!$B$4,"Terserap","Perlu Evaluasi"))</f>
        <v/>
      </c>
      <c r="AD40" s="30"/>
      <c r="AE40" s="30"/>
      <c r="AF40" s="28" t="str">
        <f t="shared" si="12"/>
        <v/>
      </c>
      <c r="AG40" s="28" t="str">
        <f t="shared" si="13"/>
        <v/>
      </c>
      <c r="AH40" s="23" t="str">
        <f>IF(AG40="","",IF(AG40&gt;=Panduan!$B$4,"Terserap","Perlu Evaluasi"))</f>
        <v/>
      </c>
      <c r="AI40" s="29" t="str">
        <f t="shared" ref="AI40:AJ40" si="49">IF(COUNTA(J40,O40,T40,Y40,AD40)=0,"",SUM(J40,O40,T40,Y40,AD40))</f>
        <v/>
      </c>
      <c r="AJ40" s="29" t="str">
        <f t="shared" si="49"/>
        <v/>
      </c>
      <c r="AK40" s="28" t="str">
        <f t="shared" si="15"/>
        <v/>
      </c>
      <c r="AL40" s="28" t="str">
        <f t="shared" si="16"/>
        <v/>
      </c>
      <c r="AM40" s="23" t="str">
        <f>IF(AL40="","",IF(AL40&gt;=Panduan!$B$4,"Terserap","Perlu Evaluasi"))</f>
        <v/>
      </c>
    </row>
    <row r="41" ht="15.75" customHeight="1">
      <c r="A41" s="23" t="str">
        <f t="shared" si="2"/>
        <v/>
      </c>
      <c r="B41" s="33"/>
      <c r="C41" s="23" t="str">
        <f t="shared" si="3"/>
        <v/>
      </c>
      <c r="D41" s="31"/>
      <c r="E41" s="31"/>
      <c r="F41" s="31"/>
      <c r="G41" s="31"/>
      <c r="H41" s="31"/>
      <c r="I41" s="32"/>
      <c r="J41" s="30"/>
      <c r="K41" s="30"/>
      <c r="L41" s="28" t="str">
        <f t="shared" si="4"/>
        <v/>
      </c>
      <c r="M41" s="28" t="str">
        <f t="shared" si="5"/>
        <v/>
      </c>
      <c r="N41" s="23" t="str">
        <f>IF(M41="","",IF(M41&gt;=Panduan!$B$4,"Terserap","Perlu Evaluasi"))</f>
        <v/>
      </c>
      <c r="O41" s="30"/>
      <c r="P41" s="30"/>
      <c r="Q41" s="28" t="str">
        <f t="shared" si="6"/>
        <v/>
      </c>
      <c r="R41" s="28" t="str">
        <f t="shared" si="7"/>
        <v/>
      </c>
      <c r="S41" s="23" t="str">
        <f>IF(R41="","",IF(R41&gt;=Panduan!$B$4,"Terserap","Perlu Evaluasi"))</f>
        <v/>
      </c>
      <c r="T41" s="30"/>
      <c r="U41" s="30"/>
      <c r="V41" s="28" t="str">
        <f t="shared" si="8"/>
        <v/>
      </c>
      <c r="W41" s="28" t="str">
        <f t="shared" si="9"/>
        <v/>
      </c>
      <c r="X41" s="23" t="str">
        <f>IF(W41="","",IF(W41&gt;=Panduan!$B$4,"Terserap","Perlu Evaluasi"))</f>
        <v/>
      </c>
      <c r="Y41" s="30"/>
      <c r="Z41" s="30"/>
      <c r="AA41" s="28" t="str">
        <f t="shared" si="10"/>
        <v/>
      </c>
      <c r="AB41" s="28" t="str">
        <f t="shared" si="11"/>
        <v/>
      </c>
      <c r="AC41" s="23" t="str">
        <f>IF(AB41="","",IF(AB41&gt;=Panduan!$B$4,"Terserap","Perlu Evaluasi"))</f>
        <v/>
      </c>
      <c r="AD41" s="30"/>
      <c r="AE41" s="30"/>
      <c r="AF41" s="28" t="str">
        <f t="shared" si="12"/>
        <v/>
      </c>
      <c r="AG41" s="28" t="str">
        <f t="shared" si="13"/>
        <v/>
      </c>
      <c r="AH41" s="23" t="str">
        <f>IF(AG41="","",IF(AG41&gt;=Panduan!$B$4,"Terserap","Perlu Evaluasi"))</f>
        <v/>
      </c>
      <c r="AI41" s="29" t="str">
        <f t="shared" ref="AI41:AJ41" si="50">IF(COUNTA(J41,O41,T41,Y41,AD41)=0,"",SUM(J41,O41,T41,Y41,AD41))</f>
        <v/>
      </c>
      <c r="AJ41" s="29" t="str">
        <f t="shared" si="50"/>
        <v/>
      </c>
      <c r="AK41" s="28" t="str">
        <f t="shared" si="15"/>
        <v/>
      </c>
      <c r="AL41" s="28" t="str">
        <f t="shared" si="16"/>
        <v/>
      </c>
      <c r="AM41" s="23" t="str">
        <f>IF(AL41="","",IF(AL41&gt;=Panduan!$B$4,"Terserap","Perlu Evaluasi"))</f>
        <v/>
      </c>
    </row>
    <row r="42" ht="15.75" customHeight="1">
      <c r="A42" s="23" t="str">
        <f t="shared" si="2"/>
        <v/>
      </c>
      <c r="B42" s="33"/>
      <c r="C42" s="23" t="str">
        <f t="shared" si="3"/>
        <v/>
      </c>
      <c r="D42" s="31"/>
      <c r="E42" s="31"/>
      <c r="F42" s="31"/>
      <c r="G42" s="31"/>
      <c r="H42" s="31"/>
      <c r="I42" s="32"/>
      <c r="J42" s="30"/>
      <c r="K42" s="30"/>
      <c r="L42" s="28" t="str">
        <f t="shared" si="4"/>
        <v/>
      </c>
      <c r="M42" s="28" t="str">
        <f t="shared" si="5"/>
        <v/>
      </c>
      <c r="N42" s="23" t="str">
        <f>IF(M42="","",IF(M42&gt;=Panduan!$B$4,"Terserap","Perlu Evaluasi"))</f>
        <v/>
      </c>
      <c r="O42" s="30"/>
      <c r="P42" s="30"/>
      <c r="Q42" s="28" t="str">
        <f t="shared" si="6"/>
        <v/>
      </c>
      <c r="R42" s="28" t="str">
        <f t="shared" si="7"/>
        <v/>
      </c>
      <c r="S42" s="23" t="str">
        <f>IF(R42="","",IF(R42&gt;=Panduan!$B$4,"Terserap","Perlu Evaluasi"))</f>
        <v/>
      </c>
      <c r="T42" s="30"/>
      <c r="U42" s="30"/>
      <c r="V42" s="28" t="str">
        <f t="shared" si="8"/>
        <v/>
      </c>
      <c r="W42" s="28" t="str">
        <f t="shared" si="9"/>
        <v/>
      </c>
      <c r="X42" s="23" t="str">
        <f>IF(W42="","",IF(W42&gt;=Panduan!$B$4,"Terserap","Perlu Evaluasi"))</f>
        <v/>
      </c>
      <c r="Y42" s="30"/>
      <c r="Z42" s="30"/>
      <c r="AA42" s="28" t="str">
        <f t="shared" si="10"/>
        <v/>
      </c>
      <c r="AB42" s="28" t="str">
        <f t="shared" si="11"/>
        <v/>
      </c>
      <c r="AC42" s="23" t="str">
        <f>IF(AB42="","",IF(AB42&gt;=Panduan!$B$4,"Terserap","Perlu Evaluasi"))</f>
        <v/>
      </c>
      <c r="AD42" s="30"/>
      <c r="AE42" s="30"/>
      <c r="AF42" s="28" t="str">
        <f t="shared" si="12"/>
        <v/>
      </c>
      <c r="AG42" s="28" t="str">
        <f t="shared" si="13"/>
        <v/>
      </c>
      <c r="AH42" s="23" t="str">
        <f>IF(AG42="","",IF(AG42&gt;=Panduan!$B$4,"Terserap","Perlu Evaluasi"))</f>
        <v/>
      </c>
      <c r="AI42" s="29" t="str">
        <f t="shared" ref="AI42:AJ42" si="51">IF(COUNTA(J42,O42,T42,Y42,AD42)=0,"",SUM(J42,O42,T42,Y42,AD42))</f>
        <v/>
      </c>
      <c r="AJ42" s="29" t="str">
        <f t="shared" si="51"/>
        <v/>
      </c>
      <c r="AK42" s="28" t="str">
        <f t="shared" si="15"/>
        <v/>
      </c>
      <c r="AL42" s="28" t="str">
        <f t="shared" si="16"/>
        <v/>
      </c>
      <c r="AM42" s="23" t="str">
        <f>IF(AL42="","",IF(AL42&gt;=Panduan!$B$4,"Terserap","Perlu Evaluasi"))</f>
        <v/>
      </c>
    </row>
    <row r="43" ht="15.75" customHeight="1">
      <c r="A43" s="23" t="str">
        <f t="shared" si="2"/>
        <v/>
      </c>
      <c r="B43" s="33"/>
      <c r="C43" s="23" t="str">
        <f t="shared" si="3"/>
        <v/>
      </c>
      <c r="D43" s="31"/>
      <c r="E43" s="31"/>
      <c r="F43" s="31"/>
      <c r="G43" s="31"/>
      <c r="H43" s="31"/>
      <c r="I43" s="32"/>
      <c r="J43" s="30"/>
      <c r="K43" s="30"/>
      <c r="L43" s="28" t="str">
        <f t="shared" si="4"/>
        <v/>
      </c>
      <c r="M43" s="28" t="str">
        <f t="shared" si="5"/>
        <v/>
      </c>
      <c r="N43" s="23" t="str">
        <f>IF(M43="","",IF(M43&gt;=Panduan!$B$4,"Terserap","Perlu Evaluasi"))</f>
        <v/>
      </c>
      <c r="O43" s="30"/>
      <c r="P43" s="30"/>
      <c r="Q43" s="28" t="str">
        <f t="shared" si="6"/>
        <v/>
      </c>
      <c r="R43" s="28" t="str">
        <f t="shared" si="7"/>
        <v/>
      </c>
      <c r="S43" s="23" t="str">
        <f>IF(R43="","",IF(R43&gt;=Panduan!$B$4,"Terserap","Perlu Evaluasi"))</f>
        <v/>
      </c>
      <c r="T43" s="30"/>
      <c r="U43" s="30"/>
      <c r="V43" s="28" t="str">
        <f t="shared" si="8"/>
        <v/>
      </c>
      <c r="W43" s="28" t="str">
        <f t="shared" si="9"/>
        <v/>
      </c>
      <c r="X43" s="23" t="str">
        <f>IF(W43="","",IF(W43&gt;=Panduan!$B$4,"Terserap","Perlu Evaluasi"))</f>
        <v/>
      </c>
      <c r="Y43" s="30"/>
      <c r="Z43" s="30"/>
      <c r="AA43" s="28" t="str">
        <f t="shared" si="10"/>
        <v/>
      </c>
      <c r="AB43" s="28" t="str">
        <f t="shared" si="11"/>
        <v/>
      </c>
      <c r="AC43" s="23" t="str">
        <f>IF(AB43="","",IF(AB43&gt;=Panduan!$B$4,"Terserap","Perlu Evaluasi"))</f>
        <v/>
      </c>
      <c r="AD43" s="30"/>
      <c r="AE43" s="30"/>
      <c r="AF43" s="28" t="str">
        <f t="shared" si="12"/>
        <v/>
      </c>
      <c r="AG43" s="28" t="str">
        <f t="shared" si="13"/>
        <v/>
      </c>
      <c r="AH43" s="23" t="str">
        <f>IF(AG43="","",IF(AG43&gt;=Panduan!$B$4,"Terserap","Perlu Evaluasi"))</f>
        <v/>
      </c>
      <c r="AI43" s="29" t="str">
        <f t="shared" ref="AI43:AJ43" si="52">IF(COUNTA(J43,O43,T43,Y43,AD43)=0,"",SUM(J43,O43,T43,Y43,AD43))</f>
        <v/>
      </c>
      <c r="AJ43" s="29" t="str">
        <f t="shared" si="52"/>
        <v/>
      </c>
      <c r="AK43" s="28" t="str">
        <f t="shared" si="15"/>
        <v/>
      </c>
      <c r="AL43" s="28" t="str">
        <f t="shared" si="16"/>
        <v/>
      </c>
      <c r="AM43" s="23" t="str">
        <f>IF(AL43="","",IF(AL43&gt;=Panduan!$B$4,"Terserap","Perlu Evaluasi"))</f>
        <v/>
      </c>
    </row>
    <row r="44" ht="15.75" customHeight="1">
      <c r="A44" s="23" t="str">
        <f t="shared" si="2"/>
        <v/>
      </c>
      <c r="B44" s="33"/>
      <c r="C44" s="23" t="str">
        <f t="shared" si="3"/>
        <v/>
      </c>
      <c r="D44" s="31"/>
      <c r="E44" s="31"/>
      <c r="F44" s="31"/>
      <c r="G44" s="31"/>
      <c r="H44" s="31"/>
      <c r="I44" s="32"/>
      <c r="J44" s="30"/>
      <c r="K44" s="30"/>
      <c r="L44" s="28" t="str">
        <f t="shared" si="4"/>
        <v/>
      </c>
      <c r="M44" s="28" t="str">
        <f t="shared" si="5"/>
        <v/>
      </c>
      <c r="N44" s="23" t="str">
        <f>IF(M44="","",IF(M44&gt;=Panduan!$B$4,"Terserap","Perlu Evaluasi"))</f>
        <v/>
      </c>
      <c r="O44" s="30"/>
      <c r="P44" s="30"/>
      <c r="Q44" s="28" t="str">
        <f t="shared" si="6"/>
        <v/>
      </c>
      <c r="R44" s="28" t="str">
        <f t="shared" si="7"/>
        <v/>
      </c>
      <c r="S44" s="23" t="str">
        <f>IF(R44="","",IF(R44&gt;=Panduan!$B$4,"Terserap","Perlu Evaluasi"))</f>
        <v/>
      </c>
      <c r="T44" s="30"/>
      <c r="U44" s="30"/>
      <c r="V44" s="28" t="str">
        <f t="shared" si="8"/>
        <v/>
      </c>
      <c r="W44" s="28" t="str">
        <f t="shared" si="9"/>
        <v/>
      </c>
      <c r="X44" s="23" t="str">
        <f>IF(W44="","",IF(W44&gt;=Panduan!$B$4,"Terserap","Perlu Evaluasi"))</f>
        <v/>
      </c>
      <c r="Y44" s="30"/>
      <c r="Z44" s="30"/>
      <c r="AA44" s="28" t="str">
        <f t="shared" si="10"/>
        <v/>
      </c>
      <c r="AB44" s="28" t="str">
        <f t="shared" si="11"/>
        <v/>
      </c>
      <c r="AC44" s="23" t="str">
        <f>IF(AB44="","",IF(AB44&gt;=Panduan!$B$4,"Terserap","Perlu Evaluasi"))</f>
        <v/>
      </c>
      <c r="AD44" s="30"/>
      <c r="AE44" s="30"/>
      <c r="AF44" s="28" t="str">
        <f t="shared" si="12"/>
        <v/>
      </c>
      <c r="AG44" s="28" t="str">
        <f t="shared" si="13"/>
        <v/>
      </c>
      <c r="AH44" s="23" t="str">
        <f>IF(AG44="","",IF(AG44&gt;=Panduan!$B$4,"Terserap","Perlu Evaluasi"))</f>
        <v/>
      </c>
      <c r="AI44" s="29" t="str">
        <f t="shared" ref="AI44:AJ44" si="53">IF(COUNTA(J44,O44,T44,Y44,AD44)=0,"",SUM(J44,O44,T44,Y44,AD44))</f>
        <v/>
      </c>
      <c r="AJ44" s="29" t="str">
        <f t="shared" si="53"/>
        <v/>
      </c>
      <c r="AK44" s="28" t="str">
        <f t="shared" si="15"/>
        <v/>
      </c>
      <c r="AL44" s="28" t="str">
        <f t="shared" si="16"/>
        <v/>
      </c>
      <c r="AM44" s="23" t="str">
        <f>IF(AL44="","",IF(AL44&gt;=Panduan!$B$4,"Terserap","Perlu Evaluasi"))</f>
        <v/>
      </c>
    </row>
    <row r="45" ht="15.75" customHeight="1">
      <c r="A45" s="23" t="str">
        <f t="shared" si="2"/>
        <v/>
      </c>
      <c r="B45" s="33"/>
      <c r="C45" s="23" t="str">
        <f t="shared" si="3"/>
        <v/>
      </c>
      <c r="D45" s="31"/>
      <c r="E45" s="31"/>
      <c r="F45" s="31"/>
      <c r="G45" s="31"/>
      <c r="H45" s="31"/>
      <c r="I45" s="32"/>
      <c r="J45" s="30"/>
      <c r="K45" s="30"/>
      <c r="L45" s="28" t="str">
        <f t="shared" si="4"/>
        <v/>
      </c>
      <c r="M45" s="28" t="str">
        <f t="shared" si="5"/>
        <v/>
      </c>
      <c r="N45" s="23" t="str">
        <f>IF(M45="","",IF(M45&gt;=Panduan!$B$4,"Terserap","Perlu Evaluasi"))</f>
        <v/>
      </c>
      <c r="O45" s="30"/>
      <c r="P45" s="30"/>
      <c r="Q45" s="28" t="str">
        <f t="shared" si="6"/>
        <v/>
      </c>
      <c r="R45" s="28" t="str">
        <f t="shared" si="7"/>
        <v/>
      </c>
      <c r="S45" s="23" t="str">
        <f>IF(R45="","",IF(R45&gt;=Panduan!$B$4,"Terserap","Perlu Evaluasi"))</f>
        <v/>
      </c>
      <c r="T45" s="30"/>
      <c r="U45" s="30"/>
      <c r="V45" s="28" t="str">
        <f t="shared" si="8"/>
        <v/>
      </c>
      <c r="W45" s="28" t="str">
        <f t="shared" si="9"/>
        <v/>
      </c>
      <c r="X45" s="23" t="str">
        <f>IF(W45="","",IF(W45&gt;=Panduan!$B$4,"Terserap","Perlu Evaluasi"))</f>
        <v/>
      </c>
      <c r="Y45" s="30"/>
      <c r="Z45" s="30"/>
      <c r="AA45" s="28" t="str">
        <f t="shared" si="10"/>
        <v/>
      </c>
      <c r="AB45" s="28" t="str">
        <f t="shared" si="11"/>
        <v/>
      </c>
      <c r="AC45" s="23" t="str">
        <f>IF(AB45="","",IF(AB45&gt;=Panduan!$B$4,"Terserap","Perlu Evaluasi"))</f>
        <v/>
      </c>
      <c r="AD45" s="30"/>
      <c r="AE45" s="30"/>
      <c r="AF45" s="28" t="str">
        <f t="shared" si="12"/>
        <v/>
      </c>
      <c r="AG45" s="28" t="str">
        <f t="shared" si="13"/>
        <v/>
      </c>
      <c r="AH45" s="23" t="str">
        <f>IF(AG45="","",IF(AG45&gt;=Panduan!$B$4,"Terserap","Perlu Evaluasi"))</f>
        <v/>
      </c>
      <c r="AI45" s="29" t="str">
        <f t="shared" ref="AI45:AJ45" si="54">IF(COUNTA(J45,O45,T45,Y45,AD45)=0,"",SUM(J45,O45,T45,Y45,AD45))</f>
        <v/>
      </c>
      <c r="AJ45" s="29" t="str">
        <f t="shared" si="54"/>
        <v/>
      </c>
      <c r="AK45" s="28" t="str">
        <f t="shared" si="15"/>
        <v/>
      </c>
      <c r="AL45" s="28" t="str">
        <f t="shared" si="16"/>
        <v/>
      </c>
      <c r="AM45" s="23" t="str">
        <f>IF(AL45="","",IF(AL45&gt;=Panduan!$B$4,"Terserap","Perlu Evaluasi"))</f>
        <v/>
      </c>
    </row>
    <row r="46" ht="15.75" customHeight="1">
      <c r="A46" s="23" t="str">
        <f t="shared" si="2"/>
        <v/>
      </c>
      <c r="B46" s="33"/>
      <c r="C46" s="23" t="str">
        <f t="shared" si="3"/>
        <v/>
      </c>
      <c r="D46" s="31"/>
      <c r="E46" s="31"/>
      <c r="F46" s="31"/>
      <c r="G46" s="31"/>
      <c r="H46" s="31"/>
      <c r="I46" s="32"/>
      <c r="J46" s="30"/>
      <c r="K46" s="30"/>
      <c r="L46" s="28" t="str">
        <f t="shared" si="4"/>
        <v/>
      </c>
      <c r="M46" s="28" t="str">
        <f t="shared" si="5"/>
        <v/>
      </c>
      <c r="N46" s="23" t="str">
        <f>IF(M46="","",IF(M46&gt;=Panduan!$B$4,"Terserap","Perlu Evaluasi"))</f>
        <v/>
      </c>
      <c r="O46" s="30"/>
      <c r="P46" s="30"/>
      <c r="Q46" s="28" t="str">
        <f t="shared" si="6"/>
        <v/>
      </c>
      <c r="R46" s="28" t="str">
        <f t="shared" si="7"/>
        <v/>
      </c>
      <c r="S46" s="23" t="str">
        <f>IF(R46="","",IF(R46&gt;=Panduan!$B$4,"Terserap","Perlu Evaluasi"))</f>
        <v/>
      </c>
      <c r="T46" s="30"/>
      <c r="U46" s="30"/>
      <c r="V46" s="28" t="str">
        <f t="shared" si="8"/>
        <v/>
      </c>
      <c r="W46" s="28" t="str">
        <f t="shared" si="9"/>
        <v/>
      </c>
      <c r="X46" s="23" t="str">
        <f>IF(W46="","",IF(W46&gt;=Panduan!$B$4,"Terserap","Perlu Evaluasi"))</f>
        <v/>
      </c>
      <c r="Y46" s="30"/>
      <c r="Z46" s="30"/>
      <c r="AA46" s="28" t="str">
        <f t="shared" si="10"/>
        <v/>
      </c>
      <c r="AB46" s="28" t="str">
        <f t="shared" si="11"/>
        <v/>
      </c>
      <c r="AC46" s="23" t="str">
        <f>IF(AB46="","",IF(AB46&gt;=Panduan!$B$4,"Terserap","Perlu Evaluasi"))</f>
        <v/>
      </c>
      <c r="AD46" s="30"/>
      <c r="AE46" s="30"/>
      <c r="AF46" s="28" t="str">
        <f t="shared" si="12"/>
        <v/>
      </c>
      <c r="AG46" s="28" t="str">
        <f t="shared" si="13"/>
        <v/>
      </c>
      <c r="AH46" s="23" t="str">
        <f>IF(AG46="","",IF(AG46&gt;=Panduan!$B$4,"Terserap","Perlu Evaluasi"))</f>
        <v/>
      </c>
      <c r="AI46" s="29" t="str">
        <f t="shared" ref="AI46:AJ46" si="55">IF(COUNTA(J46,O46,T46,Y46,AD46)=0,"",SUM(J46,O46,T46,Y46,AD46))</f>
        <v/>
      </c>
      <c r="AJ46" s="29" t="str">
        <f t="shared" si="55"/>
        <v/>
      </c>
      <c r="AK46" s="28" t="str">
        <f t="shared" si="15"/>
        <v/>
      </c>
      <c r="AL46" s="28" t="str">
        <f t="shared" si="16"/>
        <v/>
      </c>
      <c r="AM46" s="23" t="str">
        <f>IF(AL46="","",IF(AL46&gt;=Panduan!$B$4,"Terserap","Perlu Evaluasi"))</f>
        <v/>
      </c>
    </row>
    <row r="47" ht="15.75" customHeight="1">
      <c r="A47" s="23" t="str">
        <f t="shared" si="2"/>
        <v/>
      </c>
      <c r="B47" s="33"/>
      <c r="C47" s="23" t="str">
        <f t="shared" si="3"/>
        <v/>
      </c>
      <c r="D47" s="31"/>
      <c r="E47" s="31"/>
      <c r="F47" s="31"/>
      <c r="G47" s="31"/>
      <c r="H47" s="31"/>
      <c r="I47" s="32"/>
      <c r="J47" s="30"/>
      <c r="K47" s="30"/>
      <c r="L47" s="28" t="str">
        <f t="shared" si="4"/>
        <v/>
      </c>
      <c r="M47" s="28" t="str">
        <f t="shared" si="5"/>
        <v/>
      </c>
      <c r="N47" s="23" t="str">
        <f>IF(M47="","",IF(M47&gt;=Panduan!$B$4,"Terserap","Perlu Evaluasi"))</f>
        <v/>
      </c>
      <c r="O47" s="30"/>
      <c r="P47" s="30"/>
      <c r="Q47" s="28" t="str">
        <f t="shared" si="6"/>
        <v/>
      </c>
      <c r="R47" s="28" t="str">
        <f t="shared" si="7"/>
        <v/>
      </c>
      <c r="S47" s="23" t="str">
        <f>IF(R47="","",IF(R47&gt;=Panduan!$B$4,"Terserap","Perlu Evaluasi"))</f>
        <v/>
      </c>
      <c r="T47" s="30"/>
      <c r="U47" s="30"/>
      <c r="V47" s="28" t="str">
        <f t="shared" si="8"/>
        <v/>
      </c>
      <c r="W47" s="28" t="str">
        <f t="shared" si="9"/>
        <v/>
      </c>
      <c r="X47" s="23" t="str">
        <f>IF(W47="","",IF(W47&gt;=Panduan!$B$4,"Terserap","Perlu Evaluasi"))</f>
        <v/>
      </c>
      <c r="Y47" s="30"/>
      <c r="Z47" s="30"/>
      <c r="AA47" s="28" t="str">
        <f t="shared" si="10"/>
        <v/>
      </c>
      <c r="AB47" s="28" t="str">
        <f t="shared" si="11"/>
        <v/>
      </c>
      <c r="AC47" s="23" t="str">
        <f>IF(AB47="","",IF(AB47&gt;=Panduan!$B$4,"Terserap","Perlu Evaluasi"))</f>
        <v/>
      </c>
      <c r="AD47" s="30"/>
      <c r="AE47" s="30"/>
      <c r="AF47" s="28" t="str">
        <f t="shared" si="12"/>
        <v/>
      </c>
      <c r="AG47" s="28" t="str">
        <f t="shared" si="13"/>
        <v/>
      </c>
      <c r="AH47" s="23" t="str">
        <f>IF(AG47="","",IF(AG47&gt;=Panduan!$B$4,"Terserap","Perlu Evaluasi"))</f>
        <v/>
      </c>
      <c r="AI47" s="29" t="str">
        <f t="shared" ref="AI47:AJ47" si="56">IF(COUNTA(J47,O47,T47,Y47,AD47)=0,"",SUM(J47,O47,T47,Y47,AD47))</f>
        <v/>
      </c>
      <c r="AJ47" s="29" t="str">
        <f t="shared" si="56"/>
        <v/>
      </c>
      <c r="AK47" s="28" t="str">
        <f t="shared" si="15"/>
        <v/>
      </c>
      <c r="AL47" s="28" t="str">
        <f t="shared" si="16"/>
        <v/>
      </c>
      <c r="AM47" s="23" t="str">
        <f>IF(AL47="","",IF(AL47&gt;=Panduan!$B$4,"Terserap","Perlu Evaluasi"))</f>
        <v/>
      </c>
    </row>
    <row r="48" ht="15.75" customHeight="1">
      <c r="A48" s="23" t="str">
        <f t="shared" si="2"/>
        <v/>
      </c>
      <c r="B48" s="33"/>
      <c r="C48" s="23" t="str">
        <f t="shared" si="3"/>
        <v/>
      </c>
      <c r="D48" s="31"/>
      <c r="E48" s="31"/>
      <c r="F48" s="31"/>
      <c r="G48" s="31"/>
      <c r="H48" s="31"/>
      <c r="I48" s="32"/>
      <c r="J48" s="30"/>
      <c r="K48" s="30"/>
      <c r="L48" s="28" t="str">
        <f t="shared" si="4"/>
        <v/>
      </c>
      <c r="M48" s="28" t="str">
        <f t="shared" si="5"/>
        <v/>
      </c>
      <c r="N48" s="23" t="str">
        <f>IF(M48="","",IF(M48&gt;=Panduan!$B$4,"Terserap","Perlu Evaluasi"))</f>
        <v/>
      </c>
      <c r="O48" s="30"/>
      <c r="P48" s="30"/>
      <c r="Q48" s="28" t="str">
        <f t="shared" si="6"/>
        <v/>
      </c>
      <c r="R48" s="28" t="str">
        <f t="shared" si="7"/>
        <v/>
      </c>
      <c r="S48" s="23" t="str">
        <f>IF(R48="","",IF(R48&gt;=Panduan!$B$4,"Terserap","Perlu Evaluasi"))</f>
        <v/>
      </c>
      <c r="T48" s="30"/>
      <c r="U48" s="30"/>
      <c r="V48" s="28" t="str">
        <f t="shared" si="8"/>
        <v/>
      </c>
      <c r="W48" s="28" t="str">
        <f t="shared" si="9"/>
        <v/>
      </c>
      <c r="X48" s="23" t="str">
        <f>IF(W48="","",IF(W48&gt;=Panduan!$B$4,"Terserap","Perlu Evaluasi"))</f>
        <v/>
      </c>
      <c r="Y48" s="30"/>
      <c r="Z48" s="30"/>
      <c r="AA48" s="28" t="str">
        <f t="shared" si="10"/>
        <v/>
      </c>
      <c r="AB48" s="28" t="str">
        <f t="shared" si="11"/>
        <v/>
      </c>
      <c r="AC48" s="23" t="str">
        <f>IF(AB48="","",IF(AB48&gt;=Panduan!$B$4,"Terserap","Perlu Evaluasi"))</f>
        <v/>
      </c>
      <c r="AD48" s="30"/>
      <c r="AE48" s="30"/>
      <c r="AF48" s="28" t="str">
        <f t="shared" si="12"/>
        <v/>
      </c>
      <c r="AG48" s="28" t="str">
        <f t="shared" si="13"/>
        <v/>
      </c>
      <c r="AH48" s="23" t="str">
        <f>IF(AG48="","",IF(AG48&gt;=Panduan!$B$4,"Terserap","Perlu Evaluasi"))</f>
        <v/>
      </c>
      <c r="AI48" s="29" t="str">
        <f t="shared" ref="AI48:AJ48" si="57">IF(COUNTA(J48,O48,T48,Y48,AD48)=0,"",SUM(J48,O48,T48,Y48,AD48))</f>
        <v/>
      </c>
      <c r="AJ48" s="29" t="str">
        <f t="shared" si="57"/>
        <v/>
      </c>
      <c r="AK48" s="28" t="str">
        <f t="shared" si="15"/>
        <v/>
      </c>
      <c r="AL48" s="28" t="str">
        <f t="shared" si="16"/>
        <v/>
      </c>
      <c r="AM48" s="23" t="str">
        <f>IF(AL48="","",IF(AL48&gt;=Panduan!$B$4,"Terserap","Perlu Evaluasi"))</f>
        <v/>
      </c>
    </row>
    <row r="49" ht="15.75" customHeight="1">
      <c r="A49" s="23" t="str">
        <f t="shared" si="2"/>
        <v/>
      </c>
      <c r="B49" s="33"/>
      <c r="C49" s="23" t="str">
        <f t="shared" si="3"/>
        <v/>
      </c>
      <c r="D49" s="31"/>
      <c r="E49" s="31"/>
      <c r="F49" s="31"/>
      <c r="G49" s="31"/>
      <c r="H49" s="31"/>
      <c r="I49" s="32"/>
      <c r="J49" s="30"/>
      <c r="K49" s="30"/>
      <c r="L49" s="28" t="str">
        <f t="shared" si="4"/>
        <v/>
      </c>
      <c r="M49" s="28" t="str">
        <f t="shared" si="5"/>
        <v/>
      </c>
      <c r="N49" s="23" t="str">
        <f>IF(M49="","",IF(M49&gt;=Panduan!$B$4,"Terserap","Perlu Evaluasi"))</f>
        <v/>
      </c>
      <c r="O49" s="30"/>
      <c r="P49" s="30"/>
      <c r="Q49" s="28" t="str">
        <f t="shared" si="6"/>
        <v/>
      </c>
      <c r="R49" s="28" t="str">
        <f t="shared" si="7"/>
        <v/>
      </c>
      <c r="S49" s="23" t="str">
        <f>IF(R49="","",IF(R49&gt;=Panduan!$B$4,"Terserap","Perlu Evaluasi"))</f>
        <v/>
      </c>
      <c r="T49" s="30"/>
      <c r="U49" s="30"/>
      <c r="V49" s="28" t="str">
        <f t="shared" si="8"/>
        <v/>
      </c>
      <c r="W49" s="28" t="str">
        <f t="shared" si="9"/>
        <v/>
      </c>
      <c r="X49" s="23" t="str">
        <f>IF(W49="","",IF(W49&gt;=Panduan!$B$4,"Terserap","Perlu Evaluasi"))</f>
        <v/>
      </c>
      <c r="Y49" s="30"/>
      <c r="Z49" s="30"/>
      <c r="AA49" s="28" t="str">
        <f t="shared" si="10"/>
        <v/>
      </c>
      <c r="AB49" s="28" t="str">
        <f t="shared" si="11"/>
        <v/>
      </c>
      <c r="AC49" s="23" t="str">
        <f>IF(AB49="","",IF(AB49&gt;=Panduan!$B$4,"Terserap","Perlu Evaluasi"))</f>
        <v/>
      </c>
      <c r="AD49" s="30"/>
      <c r="AE49" s="30"/>
      <c r="AF49" s="28" t="str">
        <f t="shared" si="12"/>
        <v/>
      </c>
      <c r="AG49" s="28" t="str">
        <f t="shared" si="13"/>
        <v/>
      </c>
      <c r="AH49" s="23" t="str">
        <f>IF(AG49="","",IF(AG49&gt;=Panduan!$B$4,"Terserap","Perlu Evaluasi"))</f>
        <v/>
      </c>
      <c r="AI49" s="29" t="str">
        <f t="shared" ref="AI49:AJ49" si="58">IF(COUNTA(J49,O49,T49,Y49,AD49)=0,"",SUM(J49,O49,T49,Y49,AD49))</f>
        <v/>
      </c>
      <c r="AJ49" s="29" t="str">
        <f t="shared" si="58"/>
        <v/>
      </c>
      <c r="AK49" s="28" t="str">
        <f t="shared" si="15"/>
        <v/>
      </c>
      <c r="AL49" s="28" t="str">
        <f t="shared" si="16"/>
        <v/>
      </c>
      <c r="AM49" s="23" t="str">
        <f>IF(AL49="","",IF(AL49&gt;=Panduan!$B$4,"Terserap","Perlu Evaluasi"))</f>
        <v/>
      </c>
    </row>
    <row r="50" ht="15.75" customHeight="1">
      <c r="A50" s="23" t="str">
        <f t="shared" si="2"/>
        <v/>
      </c>
      <c r="B50" s="33"/>
      <c r="C50" s="23" t="str">
        <f t="shared" si="3"/>
        <v/>
      </c>
      <c r="D50" s="31"/>
      <c r="E50" s="31"/>
      <c r="F50" s="31"/>
      <c r="G50" s="31"/>
      <c r="H50" s="31"/>
      <c r="I50" s="32"/>
      <c r="J50" s="30"/>
      <c r="K50" s="30"/>
      <c r="L50" s="28" t="str">
        <f t="shared" si="4"/>
        <v/>
      </c>
      <c r="M50" s="28" t="str">
        <f t="shared" si="5"/>
        <v/>
      </c>
      <c r="N50" s="23" t="str">
        <f>IF(M50="","",IF(M50&gt;=Panduan!$B$4,"Terserap","Perlu Evaluasi"))</f>
        <v/>
      </c>
      <c r="O50" s="30"/>
      <c r="P50" s="30"/>
      <c r="Q50" s="28" t="str">
        <f t="shared" si="6"/>
        <v/>
      </c>
      <c r="R50" s="28" t="str">
        <f t="shared" si="7"/>
        <v/>
      </c>
      <c r="S50" s="23" t="str">
        <f>IF(R50="","",IF(R50&gt;=Panduan!$B$4,"Terserap","Perlu Evaluasi"))</f>
        <v/>
      </c>
      <c r="T50" s="30"/>
      <c r="U50" s="30"/>
      <c r="V50" s="28" t="str">
        <f t="shared" si="8"/>
        <v/>
      </c>
      <c r="W50" s="28" t="str">
        <f t="shared" si="9"/>
        <v/>
      </c>
      <c r="X50" s="23" t="str">
        <f>IF(W50="","",IF(W50&gt;=Panduan!$B$4,"Terserap","Perlu Evaluasi"))</f>
        <v/>
      </c>
      <c r="Y50" s="30"/>
      <c r="Z50" s="30"/>
      <c r="AA50" s="28" t="str">
        <f t="shared" si="10"/>
        <v/>
      </c>
      <c r="AB50" s="28" t="str">
        <f t="shared" si="11"/>
        <v/>
      </c>
      <c r="AC50" s="23" t="str">
        <f>IF(AB50="","",IF(AB50&gt;=Panduan!$B$4,"Terserap","Perlu Evaluasi"))</f>
        <v/>
      </c>
      <c r="AD50" s="30"/>
      <c r="AE50" s="30"/>
      <c r="AF50" s="28" t="str">
        <f t="shared" si="12"/>
        <v/>
      </c>
      <c r="AG50" s="28" t="str">
        <f t="shared" si="13"/>
        <v/>
      </c>
      <c r="AH50" s="23" t="str">
        <f>IF(AG50="","",IF(AG50&gt;=Panduan!$B$4,"Terserap","Perlu Evaluasi"))</f>
        <v/>
      </c>
      <c r="AI50" s="29" t="str">
        <f t="shared" ref="AI50:AJ50" si="59">IF(COUNTA(J50,O50,T50,Y50,AD50)=0,"",SUM(J50,O50,T50,Y50,AD50))</f>
        <v/>
      </c>
      <c r="AJ50" s="29" t="str">
        <f t="shared" si="59"/>
        <v/>
      </c>
      <c r="AK50" s="28" t="str">
        <f t="shared" si="15"/>
        <v/>
      </c>
      <c r="AL50" s="28" t="str">
        <f t="shared" si="16"/>
        <v/>
      </c>
      <c r="AM50" s="23" t="str">
        <f>IF(AL50="","",IF(AL50&gt;=Panduan!$B$4,"Terserap","Perlu Evaluasi"))</f>
        <v/>
      </c>
    </row>
    <row r="51" ht="15.75" customHeight="1">
      <c r="A51" s="23" t="str">
        <f t="shared" si="2"/>
        <v/>
      </c>
      <c r="B51" s="33"/>
      <c r="C51" s="23" t="str">
        <f t="shared" si="3"/>
        <v/>
      </c>
      <c r="D51" s="31"/>
      <c r="E51" s="31"/>
      <c r="F51" s="31"/>
      <c r="G51" s="31"/>
      <c r="H51" s="31"/>
      <c r="I51" s="32"/>
      <c r="J51" s="30"/>
      <c r="K51" s="30"/>
      <c r="L51" s="28" t="str">
        <f t="shared" si="4"/>
        <v/>
      </c>
      <c r="M51" s="28" t="str">
        <f t="shared" si="5"/>
        <v/>
      </c>
      <c r="N51" s="23" t="str">
        <f>IF(M51="","",IF(M51&gt;=Panduan!$B$4,"Terserap","Perlu Evaluasi"))</f>
        <v/>
      </c>
      <c r="O51" s="30"/>
      <c r="P51" s="30"/>
      <c r="Q51" s="28" t="str">
        <f t="shared" si="6"/>
        <v/>
      </c>
      <c r="R51" s="28" t="str">
        <f t="shared" si="7"/>
        <v/>
      </c>
      <c r="S51" s="23" t="str">
        <f>IF(R51="","",IF(R51&gt;=Panduan!$B$4,"Terserap","Perlu Evaluasi"))</f>
        <v/>
      </c>
      <c r="T51" s="30"/>
      <c r="U51" s="30"/>
      <c r="V51" s="28" t="str">
        <f t="shared" si="8"/>
        <v/>
      </c>
      <c r="W51" s="28" t="str">
        <f t="shared" si="9"/>
        <v/>
      </c>
      <c r="X51" s="23" t="str">
        <f>IF(W51="","",IF(W51&gt;=Panduan!$B$4,"Terserap","Perlu Evaluasi"))</f>
        <v/>
      </c>
      <c r="Y51" s="30"/>
      <c r="Z51" s="30"/>
      <c r="AA51" s="28" t="str">
        <f t="shared" si="10"/>
        <v/>
      </c>
      <c r="AB51" s="28" t="str">
        <f t="shared" si="11"/>
        <v/>
      </c>
      <c r="AC51" s="23" t="str">
        <f>IF(AB51="","",IF(AB51&gt;=Panduan!$B$4,"Terserap","Perlu Evaluasi"))</f>
        <v/>
      </c>
      <c r="AD51" s="30"/>
      <c r="AE51" s="30"/>
      <c r="AF51" s="28" t="str">
        <f t="shared" si="12"/>
        <v/>
      </c>
      <c r="AG51" s="28" t="str">
        <f t="shared" si="13"/>
        <v/>
      </c>
      <c r="AH51" s="23" t="str">
        <f>IF(AG51="","",IF(AG51&gt;=Panduan!$B$4,"Terserap","Perlu Evaluasi"))</f>
        <v/>
      </c>
      <c r="AI51" s="29" t="str">
        <f t="shared" ref="AI51:AJ51" si="60">IF(COUNTA(J51,O51,T51,Y51,AD51)=0,"",SUM(J51,O51,T51,Y51,AD51))</f>
        <v/>
      </c>
      <c r="AJ51" s="29" t="str">
        <f t="shared" si="60"/>
        <v/>
      </c>
      <c r="AK51" s="28" t="str">
        <f t="shared" si="15"/>
        <v/>
      </c>
      <c r="AL51" s="28" t="str">
        <f t="shared" si="16"/>
        <v/>
      </c>
      <c r="AM51" s="23" t="str">
        <f>IF(AL51="","",IF(AL51&gt;=Panduan!$B$4,"Terserap","Perlu Evaluasi"))</f>
        <v/>
      </c>
    </row>
    <row r="52" ht="15.75" customHeight="1">
      <c r="A52" s="23" t="str">
        <f t="shared" si="2"/>
        <v/>
      </c>
      <c r="B52" s="33"/>
      <c r="C52" s="23" t="str">
        <f t="shared" si="3"/>
        <v/>
      </c>
      <c r="D52" s="31"/>
      <c r="E52" s="31"/>
      <c r="F52" s="31"/>
      <c r="G52" s="31"/>
      <c r="H52" s="31"/>
      <c r="I52" s="32"/>
      <c r="J52" s="30"/>
      <c r="K52" s="30"/>
      <c r="L52" s="28" t="str">
        <f t="shared" si="4"/>
        <v/>
      </c>
      <c r="M52" s="28" t="str">
        <f t="shared" si="5"/>
        <v/>
      </c>
      <c r="N52" s="23" t="str">
        <f>IF(M52="","",IF(M52&gt;=Panduan!$B$4,"Terserap","Perlu Evaluasi"))</f>
        <v/>
      </c>
      <c r="O52" s="30"/>
      <c r="P52" s="30"/>
      <c r="Q52" s="28" t="str">
        <f t="shared" si="6"/>
        <v/>
      </c>
      <c r="R52" s="28" t="str">
        <f t="shared" si="7"/>
        <v/>
      </c>
      <c r="S52" s="23" t="str">
        <f>IF(R52="","",IF(R52&gt;=Panduan!$B$4,"Terserap","Perlu Evaluasi"))</f>
        <v/>
      </c>
      <c r="T52" s="30"/>
      <c r="U52" s="30"/>
      <c r="V52" s="28" t="str">
        <f t="shared" si="8"/>
        <v/>
      </c>
      <c r="W52" s="28" t="str">
        <f t="shared" si="9"/>
        <v/>
      </c>
      <c r="X52" s="23" t="str">
        <f>IF(W52="","",IF(W52&gt;=Panduan!$B$4,"Terserap","Perlu Evaluasi"))</f>
        <v/>
      </c>
      <c r="Y52" s="30"/>
      <c r="Z52" s="30"/>
      <c r="AA52" s="28" t="str">
        <f t="shared" si="10"/>
        <v/>
      </c>
      <c r="AB52" s="28" t="str">
        <f t="shared" si="11"/>
        <v/>
      </c>
      <c r="AC52" s="23" t="str">
        <f>IF(AB52="","",IF(AB52&gt;=Panduan!$B$4,"Terserap","Perlu Evaluasi"))</f>
        <v/>
      </c>
      <c r="AD52" s="30"/>
      <c r="AE52" s="30"/>
      <c r="AF52" s="28" t="str">
        <f t="shared" si="12"/>
        <v/>
      </c>
      <c r="AG52" s="28" t="str">
        <f t="shared" si="13"/>
        <v/>
      </c>
      <c r="AH52" s="23" t="str">
        <f>IF(AG52="","",IF(AG52&gt;=Panduan!$B$4,"Terserap","Perlu Evaluasi"))</f>
        <v/>
      </c>
      <c r="AI52" s="29" t="str">
        <f t="shared" ref="AI52:AJ52" si="61">IF(COUNTA(J52,O52,T52,Y52,AD52)=0,"",SUM(J52,O52,T52,Y52,AD52))</f>
        <v/>
      </c>
      <c r="AJ52" s="29" t="str">
        <f t="shared" si="61"/>
        <v/>
      </c>
      <c r="AK52" s="28" t="str">
        <f t="shared" si="15"/>
        <v/>
      </c>
      <c r="AL52" s="28" t="str">
        <f t="shared" si="16"/>
        <v/>
      </c>
      <c r="AM52" s="23" t="str">
        <f>IF(AL52="","",IF(AL52&gt;=Panduan!$B$4,"Terserap","Perlu Evaluasi"))</f>
        <v/>
      </c>
    </row>
    <row r="53" ht="15.75" customHeight="1">
      <c r="A53" s="23" t="str">
        <f t="shared" si="2"/>
        <v/>
      </c>
      <c r="B53" s="33"/>
      <c r="C53" s="23" t="str">
        <f t="shared" si="3"/>
        <v/>
      </c>
      <c r="D53" s="31"/>
      <c r="E53" s="31"/>
      <c r="F53" s="31"/>
      <c r="G53" s="31"/>
      <c r="H53" s="31"/>
      <c r="I53" s="32"/>
      <c r="J53" s="30"/>
      <c r="K53" s="30"/>
      <c r="L53" s="28" t="str">
        <f t="shared" si="4"/>
        <v/>
      </c>
      <c r="M53" s="28" t="str">
        <f t="shared" si="5"/>
        <v/>
      </c>
      <c r="N53" s="23" t="str">
        <f>IF(M53="","",IF(M53&gt;=Panduan!$B$4,"Terserap","Perlu Evaluasi"))</f>
        <v/>
      </c>
      <c r="O53" s="30"/>
      <c r="P53" s="30"/>
      <c r="Q53" s="28" t="str">
        <f t="shared" si="6"/>
        <v/>
      </c>
      <c r="R53" s="28" t="str">
        <f t="shared" si="7"/>
        <v/>
      </c>
      <c r="S53" s="23" t="str">
        <f>IF(R53="","",IF(R53&gt;=Panduan!$B$4,"Terserap","Perlu Evaluasi"))</f>
        <v/>
      </c>
      <c r="T53" s="30"/>
      <c r="U53" s="30"/>
      <c r="V53" s="28" t="str">
        <f t="shared" si="8"/>
        <v/>
      </c>
      <c r="W53" s="28" t="str">
        <f t="shared" si="9"/>
        <v/>
      </c>
      <c r="X53" s="23" t="str">
        <f>IF(W53="","",IF(W53&gt;=Panduan!$B$4,"Terserap","Perlu Evaluasi"))</f>
        <v/>
      </c>
      <c r="Y53" s="30"/>
      <c r="Z53" s="30"/>
      <c r="AA53" s="28" t="str">
        <f t="shared" si="10"/>
        <v/>
      </c>
      <c r="AB53" s="28" t="str">
        <f t="shared" si="11"/>
        <v/>
      </c>
      <c r="AC53" s="23" t="str">
        <f>IF(AB53="","",IF(AB53&gt;=Panduan!$B$4,"Terserap","Perlu Evaluasi"))</f>
        <v/>
      </c>
      <c r="AD53" s="30"/>
      <c r="AE53" s="30"/>
      <c r="AF53" s="28" t="str">
        <f t="shared" si="12"/>
        <v/>
      </c>
      <c r="AG53" s="28" t="str">
        <f t="shared" si="13"/>
        <v/>
      </c>
      <c r="AH53" s="23" t="str">
        <f>IF(AG53="","",IF(AG53&gt;=Panduan!$B$4,"Terserap","Perlu Evaluasi"))</f>
        <v/>
      </c>
      <c r="AI53" s="29" t="str">
        <f t="shared" ref="AI53:AJ53" si="62">IF(COUNTA(J53,O53,T53,Y53,AD53)=0,"",SUM(J53,O53,T53,Y53,AD53))</f>
        <v/>
      </c>
      <c r="AJ53" s="29" t="str">
        <f t="shared" si="62"/>
        <v/>
      </c>
      <c r="AK53" s="28" t="str">
        <f t="shared" si="15"/>
        <v/>
      </c>
      <c r="AL53" s="28" t="str">
        <f t="shared" si="16"/>
        <v/>
      </c>
      <c r="AM53" s="23" t="str">
        <f>IF(AL53="","",IF(AL53&gt;=Panduan!$B$4,"Terserap","Perlu Evaluasi"))</f>
        <v/>
      </c>
    </row>
    <row r="54" ht="15.75" customHeight="1">
      <c r="A54" s="23" t="str">
        <f t="shared" si="2"/>
        <v/>
      </c>
      <c r="B54" s="33"/>
      <c r="C54" s="23" t="str">
        <f t="shared" si="3"/>
        <v/>
      </c>
      <c r="D54" s="31"/>
      <c r="E54" s="31"/>
      <c r="F54" s="31"/>
      <c r="G54" s="31"/>
      <c r="H54" s="31"/>
      <c r="I54" s="32"/>
      <c r="J54" s="30"/>
      <c r="K54" s="30"/>
      <c r="L54" s="28" t="str">
        <f t="shared" si="4"/>
        <v/>
      </c>
      <c r="M54" s="28" t="str">
        <f t="shared" si="5"/>
        <v/>
      </c>
      <c r="N54" s="23" t="str">
        <f>IF(M54="","",IF(M54&gt;=Panduan!$B$4,"Terserap","Perlu Evaluasi"))</f>
        <v/>
      </c>
      <c r="O54" s="30"/>
      <c r="P54" s="30"/>
      <c r="Q54" s="28" t="str">
        <f t="shared" si="6"/>
        <v/>
      </c>
      <c r="R54" s="28" t="str">
        <f t="shared" si="7"/>
        <v/>
      </c>
      <c r="S54" s="23" t="str">
        <f>IF(R54="","",IF(R54&gt;=Panduan!$B$4,"Terserap","Perlu Evaluasi"))</f>
        <v/>
      </c>
      <c r="T54" s="30"/>
      <c r="U54" s="30"/>
      <c r="V54" s="28" t="str">
        <f t="shared" si="8"/>
        <v/>
      </c>
      <c r="W54" s="28" t="str">
        <f t="shared" si="9"/>
        <v/>
      </c>
      <c r="X54" s="23" t="str">
        <f>IF(W54="","",IF(W54&gt;=Panduan!$B$4,"Terserap","Perlu Evaluasi"))</f>
        <v/>
      </c>
      <c r="Y54" s="30"/>
      <c r="Z54" s="30"/>
      <c r="AA54" s="28" t="str">
        <f t="shared" si="10"/>
        <v/>
      </c>
      <c r="AB54" s="28" t="str">
        <f t="shared" si="11"/>
        <v/>
      </c>
      <c r="AC54" s="23" t="str">
        <f>IF(AB54="","",IF(AB54&gt;=Panduan!$B$4,"Terserap","Perlu Evaluasi"))</f>
        <v/>
      </c>
      <c r="AD54" s="30"/>
      <c r="AE54" s="30"/>
      <c r="AF54" s="28" t="str">
        <f t="shared" si="12"/>
        <v/>
      </c>
      <c r="AG54" s="28" t="str">
        <f t="shared" si="13"/>
        <v/>
      </c>
      <c r="AH54" s="23" t="str">
        <f>IF(AG54="","",IF(AG54&gt;=Panduan!$B$4,"Terserap","Perlu Evaluasi"))</f>
        <v/>
      </c>
      <c r="AI54" s="29" t="str">
        <f t="shared" ref="AI54:AJ54" si="63">IF(COUNTA(J54,O54,T54,Y54,AD54)=0,"",SUM(J54,O54,T54,Y54,AD54))</f>
        <v/>
      </c>
      <c r="AJ54" s="29" t="str">
        <f t="shared" si="63"/>
        <v/>
      </c>
      <c r="AK54" s="28" t="str">
        <f t="shared" si="15"/>
        <v/>
      </c>
      <c r="AL54" s="28" t="str">
        <f t="shared" si="16"/>
        <v/>
      </c>
      <c r="AM54" s="23" t="str">
        <f>IF(AL54="","",IF(AL54&gt;=Panduan!$B$4,"Terserap","Perlu Evaluasi"))</f>
        <v/>
      </c>
    </row>
    <row r="55" ht="15.75" customHeight="1">
      <c r="A55" s="23" t="str">
        <f t="shared" si="2"/>
        <v/>
      </c>
      <c r="B55" s="33"/>
      <c r="C55" s="23" t="str">
        <f t="shared" si="3"/>
        <v/>
      </c>
      <c r="D55" s="31"/>
      <c r="E55" s="31"/>
      <c r="F55" s="31"/>
      <c r="G55" s="31"/>
      <c r="H55" s="31"/>
      <c r="I55" s="32"/>
      <c r="J55" s="30"/>
      <c r="K55" s="30"/>
      <c r="L55" s="28" t="str">
        <f t="shared" si="4"/>
        <v/>
      </c>
      <c r="M55" s="28" t="str">
        <f t="shared" si="5"/>
        <v/>
      </c>
      <c r="N55" s="23" t="str">
        <f>IF(M55="","",IF(M55&gt;=Panduan!$B$4,"Terserap","Perlu Evaluasi"))</f>
        <v/>
      </c>
      <c r="O55" s="30"/>
      <c r="P55" s="30"/>
      <c r="Q55" s="28" t="str">
        <f t="shared" si="6"/>
        <v/>
      </c>
      <c r="R55" s="28" t="str">
        <f t="shared" si="7"/>
        <v/>
      </c>
      <c r="S55" s="23" t="str">
        <f>IF(R55="","",IF(R55&gt;=Panduan!$B$4,"Terserap","Perlu Evaluasi"))</f>
        <v/>
      </c>
      <c r="T55" s="30"/>
      <c r="U55" s="30"/>
      <c r="V55" s="28" t="str">
        <f t="shared" si="8"/>
        <v/>
      </c>
      <c r="W55" s="28" t="str">
        <f t="shared" si="9"/>
        <v/>
      </c>
      <c r="X55" s="23" t="str">
        <f>IF(W55="","",IF(W55&gt;=Panduan!$B$4,"Terserap","Perlu Evaluasi"))</f>
        <v/>
      </c>
      <c r="Y55" s="30"/>
      <c r="Z55" s="30"/>
      <c r="AA55" s="28" t="str">
        <f t="shared" si="10"/>
        <v/>
      </c>
      <c r="AB55" s="28" t="str">
        <f t="shared" si="11"/>
        <v/>
      </c>
      <c r="AC55" s="23" t="str">
        <f>IF(AB55="","",IF(AB55&gt;=Panduan!$B$4,"Terserap","Perlu Evaluasi"))</f>
        <v/>
      </c>
      <c r="AD55" s="30"/>
      <c r="AE55" s="30"/>
      <c r="AF55" s="28" t="str">
        <f t="shared" si="12"/>
        <v/>
      </c>
      <c r="AG55" s="28" t="str">
        <f t="shared" si="13"/>
        <v/>
      </c>
      <c r="AH55" s="23" t="str">
        <f>IF(AG55="","",IF(AG55&gt;=Panduan!$B$4,"Terserap","Perlu Evaluasi"))</f>
        <v/>
      </c>
      <c r="AI55" s="29" t="str">
        <f t="shared" ref="AI55:AJ55" si="64">IF(COUNTA(J55,O55,T55,Y55,AD55)=0,"",SUM(J55,O55,T55,Y55,AD55))</f>
        <v/>
      </c>
      <c r="AJ55" s="29" t="str">
        <f t="shared" si="64"/>
        <v/>
      </c>
      <c r="AK55" s="28" t="str">
        <f t="shared" si="15"/>
        <v/>
      </c>
      <c r="AL55" s="28" t="str">
        <f t="shared" si="16"/>
        <v/>
      </c>
      <c r="AM55" s="23" t="str">
        <f>IF(AL55="","",IF(AL55&gt;=Panduan!$B$4,"Terserap","Perlu Evaluasi"))</f>
        <v/>
      </c>
    </row>
    <row r="56" ht="15.75" customHeight="1">
      <c r="A56" s="23" t="str">
        <f t="shared" si="2"/>
        <v/>
      </c>
      <c r="B56" s="33"/>
      <c r="C56" s="23" t="str">
        <f t="shared" si="3"/>
        <v/>
      </c>
      <c r="D56" s="31"/>
      <c r="E56" s="31"/>
      <c r="F56" s="31"/>
      <c r="G56" s="31"/>
      <c r="H56" s="31"/>
      <c r="I56" s="32"/>
      <c r="J56" s="30"/>
      <c r="K56" s="30"/>
      <c r="L56" s="28" t="str">
        <f t="shared" si="4"/>
        <v/>
      </c>
      <c r="M56" s="28" t="str">
        <f t="shared" si="5"/>
        <v/>
      </c>
      <c r="N56" s="23" t="str">
        <f>IF(M56="","",IF(M56&gt;=Panduan!$B$4,"Terserap","Perlu Evaluasi"))</f>
        <v/>
      </c>
      <c r="O56" s="30"/>
      <c r="P56" s="30"/>
      <c r="Q56" s="28" t="str">
        <f t="shared" si="6"/>
        <v/>
      </c>
      <c r="R56" s="28" t="str">
        <f t="shared" si="7"/>
        <v/>
      </c>
      <c r="S56" s="23" t="str">
        <f>IF(R56="","",IF(R56&gt;=Panduan!$B$4,"Terserap","Perlu Evaluasi"))</f>
        <v/>
      </c>
      <c r="T56" s="30"/>
      <c r="U56" s="30"/>
      <c r="V56" s="28" t="str">
        <f t="shared" si="8"/>
        <v/>
      </c>
      <c r="W56" s="28" t="str">
        <f t="shared" si="9"/>
        <v/>
      </c>
      <c r="X56" s="23" t="str">
        <f>IF(W56="","",IF(W56&gt;=Panduan!$B$4,"Terserap","Perlu Evaluasi"))</f>
        <v/>
      </c>
      <c r="Y56" s="30"/>
      <c r="Z56" s="30"/>
      <c r="AA56" s="28" t="str">
        <f t="shared" si="10"/>
        <v/>
      </c>
      <c r="AB56" s="28" t="str">
        <f t="shared" si="11"/>
        <v/>
      </c>
      <c r="AC56" s="23" t="str">
        <f>IF(AB56="","",IF(AB56&gt;=Panduan!$B$4,"Terserap","Perlu Evaluasi"))</f>
        <v/>
      </c>
      <c r="AD56" s="30"/>
      <c r="AE56" s="30"/>
      <c r="AF56" s="28" t="str">
        <f t="shared" si="12"/>
        <v/>
      </c>
      <c r="AG56" s="28" t="str">
        <f t="shared" si="13"/>
        <v/>
      </c>
      <c r="AH56" s="23" t="str">
        <f>IF(AG56="","",IF(AG56&gt;=Panduan!$B$4,"Terserap","Perlu Evaluasi"))</f>
        <v/>
      </c>
      <c r="AI56" s="29" t="str">
        <f t="shared" ref="AI56:AJ56" si="65">IF(COUNTA(J56,O56,T56,Y56,AD56)=0,"",SUM(J56,O56,T56,Y56,AD56))</f>
        <v/>
      </c>
      <c r="AJ56" s="29" t="str">
        <f t="shared" si="65"/>
        <v/>
      </c>
      <c r="AK56" s="28" t="str">
        <f t="shared" si="15"/>
        <v/>
      </c>
      <c r="AL56" s="28" t="str">
        <f t="shared" si="16"/>
        <v/>
      </c>
      <c r="AM56" s="23" t="str">
        <f>IF(AL56="","",IF(AL56&gt;=Panduan!$B$4,"Terserap","Perlu Evaluasi"))</f>
        <v/>
      </c>
    </row>
    <row r="57" ht="15.75" customHeight="1">
      <c r="A57" s="23" t="str">
        <f t="shared" si="2"/>
        <v/>
      </c>
      <c r="B57" s="33"/>
      <c r="C57" s="23" t="str">
        <f t="shared" si="3"/>
        <v/>
      </c>
      <c r="D57" s="31"/>
      <c r="E57" s="31"/>
      <c r="F57" s="31"/>
      <c r="G57" s="31"/>
      <c r="H57" s="31"/>
      <c r="I57" s="32"/>
      <c r="J57" s="30"/>
      <c r="K57" s="30"/>
      <c r="L57" s="28" t="str">
        <f t="shared" si="4"/>
        <v/>
      </c>
      <c r="M57" s="28" t="str">
        <f t="shared" si="5"/>
        <v/>
      </c>
      <c r="N57" s="23" t="str">
        <f>IF(M57="","",IF(M57&gt;=Panduan!$B$4,"Terserap","Perlu Evaluasi"))</f>
        <v/>
      </c>
      <c r="O57" s="30"/>
      <c r="P57" s="30"/>
      <c r="Q57" s="28" t="str">
        <f t="shared" si="6"/>
        <v/>
      </c>
      <c r="R57" s="28" t="str">
        <f t="shared" si="7"/>
        <v/>
      </c>
      <c r="S57" s="23" t="str">
        <f>IF(R57="","",IF(R57&gt;=Panduan!$B$4,"Terserap","Perlu Evaluasi"))</f>
        <v/>
      </c>
      <c r="T57" s="30"/>
      <c r="U57" s="30"/>
      <c r="V57" s="28" t="str">
        <f t="shared" si="8"/>
        <v/>
      </c>
      <c r="W57" s="28" t="str">
        <f t="shared" si="9"/>
        <v/>
      </c>
      <c r="X57" s="23" t="str">
        <f>IF(W57="","",IF(W57&gt;=Panduan!$B$4,"Terserap","Perlu Evaluasi"))</f>
        <v/>
      </c>
      <c r="Y57" s="30"/>
      <c r="Z57" s="30"/>
      <c r="AA57" s="28" t="str">
        <f t="shared" si="10"/>
        <v/>
      </c>
      <c r="AB57" s="28" t="str">
        <f t="shared" si="11"/>
        <v/>
      </c>
      <c r="AC57" s="23" t="str">
        <f>IF(AB57="","",IF(AB57&gt;=Panduan!$B$4,"Terserap","Perlu Evaluasi"))</f>
        <v/>
      </c>
      <c r="AD57" s="30"/>
      <c r="AE57" s="30"/>
      <c r="AF57" s="28" t="str">
        <f t="shared" si="12"/>
        <v/>
      </c>
      <c r="AG57" s="28" t="str">
        <f t="shared" si="13"/>
        <v/>
      </c>
      <c r="AH57" s="23" t="str">
        <f>IF(AG57="","",IF(AG57&gt;=Panduan!$B$4,"Terserap","Perlu Evaluasi"))</f>
        <v/>
      </c>
      <c r="AI57" s="29" t="str">
        <f t="shared" ref="AI57:AJ57" si="66">IF(COUNTA(J57,O57,T57,Y57,AD57)=0,"",SUM(J57,O57,T57,Y57,AD57))</f>
        <v/>
      </c>
      <c r="AJ57" s="29" t="str">
        <f t="shared" si="66"/>
        <v/>
      </c>
      <c r="AK57" s="28" t="str">
        <f t="shared" si="15"/>
        <v/>
      </c>
      <c r="AL57" s="28" t="str">
        <f t="shared" si="16"/>
        <v/>
      </c>
      <c r="AM57" s="23" t="str">
        <f>IF(AL57="","",IF(AL57&gt;=Panduan!$B$4,"Terserap","Perlu Evaluasi"))</f>
        <v/>
      </c>
    </row>
    <row r="58" ht="15.75" customHeight="1">
      <c r="A58" s="23" t="str">
        <f t="shared" si="2"/>
        <v/>
      </c>
      <c r="B58" s="33"/>
      <c r="C58" s="23" t="str">
        <f t="shared" si="3"/>
        <v/>
      </c>
      <c r="D58" s="31"/>
      <c r="E58" s="31"/>
      <c r="F58" s="31"/>
      <c r="G58" s="31"/>
      <c r="H58" s="31"/>
      <c r="I58" s="32"/>
      <c r="J58" s="30"/>
      <c r="K58" s="30"/>
      <c r="L58" s="28" t="str">
        <f t="shared" si="4"/>
        <v/>
      </c>
      <c r="M58" s="28" t="str">
        <f t="shared" si="5"/>
        <v/>
      </c>
      <c r="N58" s="23" t="str">
        <f>IF(M58="","",IF(M58&gt;=Panduan!$B$4,"Terserap","Perlu Evaluasi"))</f>
        <v/>
      </c>
      <c r="O58" s="30"/>
      <c r="P58" s="30"/>
      <c r="Q58" s="28" t="str">
        <f t="shared" si="6"/>
        <v/>
      </c>
      <c r="R58" s="28" t="str">
        <f t="shared" si="7"/>
        <v/>
      </c>
      <c r="S58" s="23" t="str">
        <f>IF(R58="","",IF(R58&gt;=Panduan!$B$4,"Terserap","Perlu Evaluasi"))</f>
        <v/>
      </c>
      <c r="T58" s="30"/>
      <c r="U58" s="30"/>
      <c r="V58" s="28" t="str">
        <f t="shared" si="8"/>
        <v/>
      </c>
      <c r="W58" s="28" t="str">
        <f t="shared" si="9"/>
        <v/>
      </c>
      <c r="X58" s="23" t="str">
        <f>IF(W58="","",IF(W58&gt;=Panduan!$B$4,"Terserap","Perlu Evaluasi"))</f>
        <v/>
      </c>
      <c r="Y58" s="30"/>
      <c r="Z58" s="30"/>
      <c r="AA58" s="28" t="str">
        <f t="shared" si="10"/>
        <v/>
      </c>
      <c r="AB58" s="28" t="str">
        <f t="shared" si="11"/>
        <v/>
      </c>
      <c r="AC58" s="23" t="str">
        <f>IF(AB58="","",IF(AB58&gt;=Panduan!$B$4,"Terserap","Perlu Evaluasi"))</f>
        <v/>
      </c>
      <c r="AD58" s="30"/>
      <c r="AE58" s="30"/>
      <c r="AF58" s="28" t="str">
        <f t="shared" si="12"/>
        <v/>
      </c>
      <c r="AG58" s="28" t="str">
        <f t="shared" si="13"/>
        <v/>
      </c>
      <c r="AH58" s="23" t="str">
        <f>IF(AG58="","",IF(AG58&gt;=Panduan!$B$4,"Terserap","Perlu Evaluasi"))</f>
        <v/>
      </c>
      <c r="AI58" s="29" t="str">
        <f t="shared" ref="AI58:AJ58" si="67">IF(COUNTA(J58,O58,T58,Y58,AD58)=0,"",SUM(J58,O58,T58,Y58,AD58))</f>
        <v/>
      </c>
      <c r="AJ58" s="29" t="str">
        <f t="shared" si="67"/>
        <v/>
      </c>
      <c r="AK58" s="28" t="str">
        <f t="shared" si="15"/>
        <v/>
      </c>
      <c r="AL58" s="28" t="str">
        <f t="shared" si="16"/>
        <v/>
      </c>
      <c r="AM58" s="23" t="str">
        <f>IF(AL58="","",IF(AL58&gt;=Panduan!$B$4,"Terserap","Perlu Evaluasi"))</f>
        <v/>
      </c>
    </row>
    <row r="59" ht="15.75" customHeight="1">
      <c r="A59" s="23" t="str">
        <f t="shared" si="2"/>
        <v/>
      </c>
      <c r="B59" s="33"/>
      <c r="C59" s="23" t="str">
        <f t="shared" si="3"/>
        <v/>
      </c>
      <c r="D59" s="31"/>
      <c r="E59" s="31"/>
      <c r="F59" s="31"/>
      <c r="G59" s="31"/>
      <c r="H59" s="31"/>
      <c r="I59" s="32"/>
      <c r="J59" s="30"/>
      <c r="K59" s="30"/>
      <c r="L59" s="28" t="str">
        <f t="shared" si="4"/>
        <v/>
      </c>
      <c r="M59" s="28" t="str">
        <f t="shared" si="5"/>
        <v/>
      </c>
      <c r="N59" s="23" t="str">
        <f>IF(M59="","",IF(M59&gt;=Panduan!$B$4,"Terserap","Perlu Evaluasi"))</f>
        <v/>
      </c>
      <c r="O59" s="30"/>
      <c r="P59" s="30"/>
      <c r="Q59" s="28" t="str">
        <f t="shared" si="6"/>
        <v/>
      </c>
      <c r="R59" s="28" t="str">
        <f t="shared" si="7"/>
        <v/>
      </c>
      <c r="S59" s="23" t="str">
        <f>IF(R59="","",IF(R59&gt;=Panduan!$B$4,"Terserap","Perlu Evaluasi"))</f>
        <v/>
      </c>
      <c r="T59" s="30"/>
      <c r="U59" s="30"/>
      <c r="V59" s="28" t="str">
        <f t="shared" si="8"/>
        <v/>
      </c>
      <c r="W59" s="28" t="str">
        <f t="shared" si="9"/>
        <v/>
      </c>
      <c r="X59" s="23" t="str">
        <f>IF(W59="","",IF(W59&gt;=Panduan!$B$4,"Terserap","Perlu Evaluasi"))</f>
        <v/>
      </c>
      <c r="Y59" s="30"/>
      <c r="Z59" s="30"/>
      <c r="AA59" s="28" t="str">
        <f t="shared" si="10"/>
        <v/>
      </c>
      <c r="AB59" s="28" t="str">
        <f t="shared" si="11"/>
        <v/>
      </c>
      <c r="AC59" s="23" t="str">
        <f>IF(AB59="","",IF(AB59&gt;=Panduan!$B$4,"Terserap","Perlu Evaluasi"))</f>
        <v/>
      </c>
      <c r="AD59" s="30"/>
      <c r="AE59" s="30"/>
      <c r="AF59" s="28" t="str">
        <f t="shared" si="12"/>
        <v/>
      </c>
      <c r="AG59" s="28" t="str">
        <f t="shared" si="13"/>
        <v/>
      </c>
      <c r="AH59" s="23" t="str">
        <f>IF(AG59="","",IF(AG59&gt;=Panduan!$B$4,"Terserap","Perlu Evaluasi"))</f>
        <v/>
      </c>
      <c r="AI59" s="29" t="str">
        <f t="shared" ref="AI59:AJ59" si="68">IF(COUNTA(J59,O59,T59,Y59,AD59)=0,"",SUM(J59,O59,T59,Y59,AD59))</f>
        <v/>
      </c>
      <c r="AJ59" s="29" t="str">
        <f t="shared" si="68"/>
        <v/>
      </c>
      <c r="AK59" s="28" t="str">
        <f t="shared" si="15"/>
        <v/>
      </c>
      <c r="AL59" s="28" t="str">
        <f t="shared" si="16"/>
        <v/>
      </c>
      <c r="AM59" s="23" t="str">
        <f>IF(AL59="","",IF(AL59&gt;=Panduan!$B$4,"Terserap","Perlu Evaluasi"))</f>
        <v/>
      </c>
    </row>
    <row r="60" ht="15.75" customHeight="1">
      <c r="A60" s="23" t="str">
        <f t="shared" si="2"/>
        <v/>
      </c>
      <c r="B60" s="33"/>
      <c r="C60" s="23" t="str">
        <f t="shared" si="3"/>
        <v/>
      </c>
      <c r="D60" s="31"/>
      <c r="E60" s="31"/>
      <c r="F60" s="31"/>
      <c r="G60" s="31"/>
      <c r="H60" s="31"/>
      <c r="I60" s="32"/>
      <c r="J60" s="30"/>
      <c r="K60" s="30"/>
      <c r="L60" s="28" t="str">
        <f t="shared" si="4"/>
        <v/>
      </c>
      <c r="M60" s="28" t="str">
        <f t="shared" si="5"/>
        <v/>
      </c>
      <c r="N60" s="23" t="str">
        <f>IF(M60="","",IF(M60&gt;=Panduan!$B$4,"Terserap","Perlu Evaluasi"))</f>
        <v/>
      </c>
      <c r="O60" s="30"/>
      <c r="P60" s="30"/>
      <c r="Q60" s="28" t="str">
        <f t="shared" si="6"/>
        <v/>
      </c>
      <c r="R60" s="28" t="str">
        <f t="shared" si="7"/>
        <v/>
      </c>
      <c r="S60" s="23" t="str">
        <f>IF(R60="","",IF(R60&gt;=Panduan!$B$4,"Terserap","Perlu Evaluasi"))</f>
        <v/>
      </c>
      <c r="T60" s="30"/>
      <c r="U60" s="30"/>
      <c r="V60" s="28" t="str">
        <f t="shared" si="8"/>
        <v/>
      </c>
      <c r="W60" s="28" t="str">
        <f t="shared" si="9"/>
        <v/>
      </c>
      <c r="X60" s="23" t="str">
        <f>IF(W60="","",IF(W60&gt;=Panduan!$B$4,"Terserap","Perlu Evaluasi"))</f>
        <v/>
      </c>
      <c r="Y60" s="30"/>
      <c r="Z60" s="30"/>
      <c r="AA60" s="28" t="str">
        <f t="shared" si="10"/>
        <v/>
      </c>
      <c r="AB60" s="28" t="str">
        <f t="shared" si="11"/>
        <v/>
      </c>
      <c r="AC60" s="23" t="str">
        <f>IF(AB60="","",IF(AB60&gt;=Panduan!$B$4,"Terserap","Perlu Evaluasi"))</f>
        <v/>
      </c>
      <c r="AD60" s="30"/>
      <c r="AE60" s="30"/>
      <c r="AF60" s="28" t="str">
        <f t="shared" si="12"/>
        <v/>
      </c>
      <c r="AG60" s="28" t="str">
        <f t="shared" si="13"/>
        <v/>
      </c>
      <c r="AH60" s="23" t="str">
        <f>IF(AG60="","",IF(AG60&gt;=Panduan!$B$4,"Terserap","Perlu Evaluasi"))</f>
        <v/>
      </c>
      <c r="AI60" s="29" t="str">
        <f t="shared" ref="AI60:AJ60" si="69">IF(COUNTA(J60,O60,T60,Y60,AD60)=0,"",SUM(J60,O60,T60,Y60,AD60))</f>
        <v/>
      </c>
      <c r="AJ60" s="29" t="str">
        <f t="shared" si="69"/>
        <v/>
      </c>
      <c r="AK60" s="28" t="str">
        <f t="shared" si="15"/>
        <v/>
      </c>
      <c r="AL60" s="28" t="str">
        <f t="shared" si="16"/>
        <v/>
      </c>
      <c r="AM60" s="23" t="str">
        <f>IF(AL60="","",IF(AL60&gt;=Panduan!$B$4,"Terserap","Perlu Evaluasi"))</f>
        <v/>
      </c>
    </row>
    <row r="61" ht="15.75" customHeight="1">
      <c r="A61" s="23" t="str">
        <f t="shared" si="2"/>
        <v/>
      </c>
      <c r="B61" s="33"/>
      <c r="C61" s="23" t="str">
        <f t="shared" si="3"/>
        <v/>
      </c>
      <c r="D61" s="31"/>
      <c r="E61" s="31"/>
      <c r="F61" s="31"/>
      <c r="G61" s="31"/>
      <c r="H61" s="31"/>
      <c r="I61" s="32"/>
      <c r="J61" s="30"/>
      <c r="K61" s="30"/>
      <c r="L61" s="28" t="str">
        <f t="shared" si="4"/>
        <v/>
      </c>
      <c r="M61" s="28" t="str">
        <f t="shared" si="5"/>
        <v/>
      </c>
      <c r="N61" s="23" t="str">
        <f>IF(M61="","",IF(M61&gt;=Panduan!$B$4,"Terserap","Perlu Evaluasi"))</f>
        <v/>
      </c>
      <c r="O61" s="30"/>
      <c r="P61" s="30"/>
      <c r="Q61" s="28" t="str">
        <f t="shared" si="6"/>
        <v/>
      </c>
      <c r="R61" s="28" t="str">
        <f t="shared" si="7"/>
        <v/>
      </c>
      <c r="S61" s="23" t="str">
        <f>IF(R61="","",IF(R61&gt;=Panduan!$B$4,"Terserap","Perlu Evaluasi"))</f>
        <v/>
      </c>
      <c r="T61" s="30"/>
      <c r="U61" s="30"/>
      <c r="V61" s="28" t="str">
        <f t="shared" si="8"/>
        <v/>
      </c>
      <c r="W61" s="28" t="str">
        <f t="shared" si="9"/>
        <v/>
      </c>
      <c r="X61" s="23" t="str">
        <f>IF(W61="","",IF(W61&gt;=Panduan!$B$4,"Terserap","Perlu Evaluasi"))</f>
        <v/>
      </c>
      <c r="Y61" s="30"/>
      <c r="Z61" s="30"/>
      <c r="AA61" s="28" t="str">
        <f t="shared" si="10"/>
        <v/>
      </c>
      <c r="AB61" s="28" t="str">
        <f t="shared" si="11"/>
        <v/>
      </c>
      <c r="AC61" s="23" t="str">
        <f>IF(AB61="","",IF(AB61&gt;=Panduan!$B$4,"Terserap","Perlu Evaluasi"))</f>
        <v/>
      </c>
      <c r="AD61" s="30"/>
      <c r="AE61" s="30"/>
      <c r="AF61" s="28" t="str">
        <f t="shared" si="12"/>
        <v/>
      </c>
      <c r="AG61" s="28" t="str">
        <f t="shared" si="13"/>
        <v/>
      </c>
      <c r="AH61" s="23" t="str">
        <f>IF(AG61="","",IF(AG61&gt;=Panduan!$B$4,"Terserap","Perlu Evaluasi"))</f>
        <v/>
      </c>
      <c r="AI61" s="29" t="str">
        <f t="shared" ref="AI61:AJ61" si="70">IF(COUNTA(J61,O61,T61,Y61,AD61)=0,"",SUM(J61,O61,T61,Y61,AD61))</f>
        <v/>
      </c>
      <c r="AJ61" s="29" t="str">
        <f t="shared" si="70"/>
        <v/>
      </c>
      <c r="AK61" s="28" t="str">
        <f t="shared" si="15"/>
        <v/>
      </c>
      <c r="AL61" s="28" t="str">
        <f t="shared" si="16"/>
        <v/>
      </c>
      <c r="AM61" s="23" t="str">
        <f>IF(AL61="","",IF(AL61&gt;=Panduan!$B$4,"Terserap","Perlu Evaluasi"))</f>
        <v/>
      </c>
    </row>
    <row r="62" ht="15.75" customHeight="1">
      <c r="A62" s="23" t="str">
        <f t="shared" si="2"/>
        <v/>
      </c>
      <c r="B62" s="33"/>
      <c r="C62" s="23" t="str">
        <f t="shared" si="3"/>
        <v/>
      </c>
      <c r="D62" s="31"/>
      <c r="E62" s="31"/>
      <c r="F62" s="31"/>
      <c r="G62" s="31"/>
      <c r="H62" s="31"/>
      <c r="I62" s="32"/>
      <c r="J62" s="30"/>
      <c r="K62" s="30"/>
      <c r="L62" s="28" t="str">
        <f t="shared" si="4"/>
        <v/>
      </c>
      <c r="M62" s="28" t="str">
        <f t="shared" si="5"/>
        <v/>
      </c>
      <c r="N62" s="23" t="str">
        <f>IF(M62="","",IF(M62&gt;=Panduan!$B$4,"Terserap","Perlu Evaluasi"))</f>
        <v/>
      </c>
      <c r="O62" s="30"/>
      <c r="P62" s="30"/>
      <c r="Q62" s="28" t="str">
        <f t="shared" si="6"/>
        <v/>
      </c>
      <c r="R62" s="28" t="str">
        <f t="shared" si="7"/>
        <v/>
      </c>
      <c r="S62" s="23" t="str">
        <f>IF(R62="","",IF(R62&gt;=Panduan!$B$4,"Terserap","Perlu Evaluasi"))</f>
        <v/>
      </c>
      <c r="T62" s="30"/>
      <c r="U62" s="30"/>
      <c r="V62" s="28" t="str">
        <f t="shared" si="8"/>
        <v/>
      </c>
      <c r="W62" s="28" t="str">
        <f t="shared" si="9"/>
        <v/>
      </c>
      <c r="X62" s="23" t="str">
        <f>IF(W62="","",IF(W62&gt;=Panduan!$B$4,"Terserap","Perlu Evaluasi"))</f>
        <v/>
      </c>
      <c r="Y62" s="30"/>
      <c r="Z62" s="30"/>
      <c r="AA62" s="28" t="str">
        <f t="shared" si="10"/>
        <v/>
      </c>
      <c r="AB62" s="28" t="str">
        <f t="shared" si="11"/>
        <v/>
      </c>
      <c r="AC62" s="23" t="str">
        <f>IF(AB62="","",IF(AB62&gt;=Panduan!$B$4,"Terserap","Perlu Evaluasi"))</f>
        <v/>
      </c>
      <c r="AD62" s="30"/>
      <c r="AE62" s="30"/>
      <c r="AF62" s="28" t="str">
        <f t="shared" si="12"/>
        <v/>
      </c>
      <c r="AG62" s="28" t="str">
        <f t="shared" si="13"/>
        <v/>
      </c>
      <c r="AH62" s="23" t="str">
        <f>IF(AG62="","",IF(AG62&gt;=Panduan!$B$4,"Terserap","Perlu Evaluasi"))</f>
        <v/>
      </c>
      <c r="AI62" s="29" t="str">
        <f t="shared" ref="AI62:AJ62" si="71">IF(COUNTA(J62,O62,T62,Y62,AD62)=0,"",SUM(J62,O62,T62,Y62,AD62))</f>
        <v/>
      </c>
      <c r="AJ62" s="29" t="str">
        <f t="shared" si="71"/>
        <v/>
      </c>
      <c r="AK62" s="28" t="str">
        <f t="shared" si="15"/>
        <v/>
      </c>
      <c r="AL62" s="28" t="str">
        <f t="shared" si="16"/>
        <v/>
      </c>
      <c r="AM62" s="23" t="str">
        <f>IF(AL62="","",IF(AL62&gt;=Panduan!$B$4,"Terserap","Perlu Evaluasi"))</f>
        <v/>
      </c>
    </row>
    <row r="63" ht="15.75" customHeight="1">
      <c r="A63" s="23" t="str">
        <f t="shared" si="2"/>
        <v/>
      </c>
      <c r="B63" s="33"/>
      <c r="C63" s="23" t="str">
        <f t="shared" si="3"/>
        <v/>
      </c>
      <c r="D63" s="31"/>
      <c r="E63" s="31"/>
      <c r="F63" s="31"/>
      <c r="G63" s="31"/>
      <c r="H63" s="31"/>
      <c r="I63" s="32"/>
      <c r="J63" s="30"/>
      <c r="K63" s="30"/>
      <c r="L63" s="28" t="str">
        <f t="shared" si="4"/>
        <v/>
      </c>
      <c r="M63" s="28" t="str">
        <f t="shared" si="5"/>
        <v/>
      </c>
      <c r="N63" s="23" t="str">
        <f>IF(M63="","",IF(M63&gt;=Panduan!$B$4,"Terserap","Perlu Evaluasi"))</f>
        <v/>
      </c>
      <c r="O63" s="30"/>
      <c r="P63" s="30"/>
      <c r="Q63" s="28" t="str">
        <f t="shared" si="6"/>
        <v/>
      </c>
      <c r="R63" s="28" t="str">
        <f t="shared" si="7"/>
        <v/>
      </c>
      <c r="S63" s="23" t="str">
        <f>IF(R63="","",IF(R63&gt;=Panduan!$B$4,"Terserap","Perlu Evaluasi"))</f>
        <v/>
      </c>
      <c r="T63" s="30"/>
      <c r="U63" s="30"/>
      <c r="V63" s="28" t="str">
        <f t="shared" si="8"/>
        <v/>
      </c>
      <c r="W63" s="28" t="str">
        <f t="shared" si="9"/>
        <v/>
      </c>
      <c r="X63" s="23" t="str">
        <f>IF(W63="","",IF(W63&gt;=Panduan!$B$4,"Terserap","Perlu Evaluasi"))</f>
        <v/>
      </c>
      <c r="Y63" s="30"/>
      <c r="Z63" s="30"/>
      <c r="AA63" s="28" t="str">
        <f t="shared" si="10"/>
        <v/>
      </c>
      <c r="AB63" s="28" t="str">
        <f t="shared" si="11"/>
        <v/>
      </c>
      <c r="AC63" s="23" t="str">
        <f>IF(AB63="","",IF(AB63&gt;=Panduan!$B$4,"Terserap","Perlu Evaluasi"))</f>
        <v/>
      </c>
      <c r="AD63" s="30"/>
      <c r="AE63" s="30"/>
      <c r="AF63" s="28" t="str">
        <f t="shared" si="12"/>
        <v/>
      </c>
      <c r="AG63" s="28" t="str">
        <f t="shared" si="13"/>
        <v/>
      </c>
      <c r="AH63" s="23" t="str">
        <f>IF(AG63="","",IF(AG63&gt;=Panduan!$B$4,"Terserap","Perlu Evaluasi"))</f>
        <v/>
      </c>
      <c r="AI63" s="29" t="str">
        <f t="shared" ref="AI63:AJ63" si="72">IF(COUNTA(J63,O63,T63,Y63,AD63)=0,"",SUM(J63,O63,T63,Y63,AD63))</f>
        <v/>
      </c>
      <c r="AJ63" s="29" t="str">
        <f t="shared" si="72"/>
        <v/>
      </c>
      <c r="AK63" s="28" t="str">
        <f t="shared" si="15"/>
        <v/>
      </c>
      <c r="AL63" s="28" t="str">
        <f t="shared" si="16"/>
        <v/>
      </c>
      <c r="AM63" s="23" t="str">
        <f>IF(AL63="","",IF(AL63&gt;=Panduan!$B$4,"Terserap","Perlu Evaluasi"))</f>
        <v/>
      </c>
    </row>
    <row r="64" ht="15.75" customHeight="1">
      <c r="A64" s="23" t="str">
        <f t="shared" si="2"/>
        <v/>
      </c>
      <c r="B64" s="33"/>
      <c r="C64" s="23" t="str">
        <f t="shared" si="3"/>
        <v/>
      </c>
      <c r="D64" s="31"/>
      <c r="E64" s="31"/>
      <c r="F64" s="31"/>
      <c r="G64" s="31"/>
      <c r="H64" s="31"/>
      <c r="I64" s="32"/>
      <c r="J64" s="30"/>
      <c r="K64" s="30"/>
      <c r="L64" s="28" t="str">
        <f t="shared" si="4"/>
        <v/>
      </c>
      <c r="M64" s="28" t="str">
        <f t="shared" si="5"/>
        <v/>
      </c>
      <c r="N64" s="23" t="str">
        <f>IF(M64="","",IF(M64&gt;=Panduan!$B$4,"Terserap","Perlu Evaluasi"))</f>
        <v/>
      </c>
      <c r="O64" s="30"/>
      <c r="P64" s="30"/>
      <c r="Q64" s="28" t="str">
        <f t="shared" si="6"/>
        <v/>
      </c>
      <c r="R64" s="28" t="str">
        <f t="shared" si="7"/>
        <v/>
      </c>
      <c r="S64" s="23" t="str">
        <f>IF(R64="","",IF(R64&gt;=Panduan!$B$4,"Terserap","Perlu Evaluasi"))</f>
        <v/>
      </c>
      <c r="T64" s="30"/>
      <c r="U64" s="30"/>
      <c r="V64" s="28" t="str">
        <f t="shared" si="8"/>
        <v/>
      </c>
      <c r="W64" s="28" t="str">
        <f t="shared" si="9"/>
        <v/>
      </c>
      <c r="X64" s="23" t="str">
        <f>IF(W64="","",IF(W64&gt;=Panduan!$B$4,"Terserap","Perlu Evaluasi"))</f>
        <v/>
      </c>
      <c r="Y64" s="30"/>
      <c r="Z64" s="30"/>
      <c r="AA64" s="28" t="str">
        <f t="shared" si="10"/>
        <v/>
      </c>
      <c r="AB64" s="28" t="str">
        <f t="shared" si="11"/>
        <v/>
      </c>
      <c r="AC64" s="23" t="str">
        <f>IF(AB64="","",IF(AB64&gt;=Panduan!$B$4,"Terserap","Perlu Evaluasi"))</f>
        <v/>
      </c>
      <c r="AD64" s="30"/>
      <c r="AE64" s="30"/>
      <c r="AF64" s="28" t="str">
        <f t="shared" si="12"/>
        <v/>
      </c>
      <c r="AG64" s="28" t="str">
        <f t="shared" si="13"/>
        <v/>
      </c>
      <c r="AH64" s="23" t="str">
        <f>IF(AG64="","",IF(AG64&gt;=Panduan!$B$4,"Terserap","Perlu Evaluasi"))</f>
        <v/>
      </c>
      <c r="AI64" s="29" t="str">
        <f t="shared" ref="AI64:AJ64" si="73">IF(COUNTA(J64,O64,T64,Y64,AD64)=0,"",SUM(J64,O64,T64,Y64,AD64))</f>
        <v/>
      </c>
      <c r="AJ64" s="29" t="str">
        <f t="shared" si="73"/>
        <v/>
      </c>
      <c r="AK64" s="28" t="str">
        <f t="shared" si="15"/>
        <v/>
      </c>
      <c r="AL64" s="28" t="str">
        <f t="shared" si="16"/>
        <v/>
      </c>
      <c r="AM64" s="23" t="str">
        <f>IF(AL64="","",IF(AL64&gt;=Panduan!$B$4,"Terserap","Perlu Evaluasi"))</f>
        <v/>
      </c>
    </row>
    <row r="65" ht="15.75" customHeight="1">
      <c r="A65" s="23" t="str">
        <f t="shared" si="2"/>
        <v/>
      </c>
      <c r="B65" s="33"/>
      <c r="C65" s="23" t="str">
        <f t="shared" si="3"/>
        <v/>
      </c>
      <c r="D65" s="31"/>
      <c r="E65" s="31"/>
      <c r="F65" s="31"/>
      <c r="G65" s="31"/>
      <c r="H65" s="31"/>
      <c r="I65" s="32"/>
      <c r="J65" s="30"/>
      <c r="K65" s="30"/>
      <c r="L65" s="28" t="str">
        <f t="shared" si="4"/>
        <v/>
      </c>
      <c r="M65" s="28" t="str">
        <f t="shared" si="5"/>
        <v/>
      </c>
      <c r="N65" s="23" t="str">
        <f>IF(M65="","",IF(M65&gt;=Panduan!$B$4,"Terserap","Perlu Evaluasi"))</f>
        <v/>
      </c>
      <c r="O65" s="30"/>
      <c r="P65" s="30"/>
      <c r="Q65" s="28" t="str">
        <f t="shared" si="6"/>
        <v/>
      </c>
      <c r="R65" s="28" t="str">
        <f t="shared" si="7"/>
        <v/>
      </c>
      <c r="S65" s="23" t="str">
        <f>IF(R65="","",IF(R65&gt;=Panduan!$B$4,"Terserap","Perlu Evaluasi"))</f>
        <v/>
      </c>
      <c r="T65" s="30"/>
      <c r="U65" s="30"/>
      <c r="V65" s="28" t="str">
        <f t="shared" si="8"/>
        <v/>
      </c>
      <c r="W65" s="28" t="str">
        <f t="shared" si="9"/>
        <v/>
      </c>
      <c r="X65" s="23" t="str">
        <f>IF(W65="","",IF(W65&gt;=Panduan!$B$4,"Terserap","Perlu Evaluasi"))</f>
        <v/>
      </c>
      <c r="Y65" s="30"/>
      <c r="Z65" s="30"/>
      <c r="AA65" s="28" t="str">
        <f t="shared" si="10"/>
        <v/>
      </c>
      <c r="AB65" s="28" t="str">
        <f t="shared" si="11"/>
        <v/>
      </c>
      <c r="AC65" s="23" t="str">
        <f>IF(AB65="","",IF(AB65&gt;=Panduan!$B$4,"Terserap","Perlu Evaluasi"))</f>
        <v/>
      </c>
      <c r="AD65" s="30"/>
      <c r="AE65" s="30"/>
      <c r="AF65" s="28" t="str">
        <f t="shared" si="12"/>
        <v/>
      </c>
      <c r="AG65" s="28" t="str">
        <f t="shared" si="13"/>
        <v/>
      </c>
      <c r="AH65" s="23" t="str">
        <f>IF(AG65="","",IF(AG65&gt;=Panduan!$B$4,"Terserap","Perlu Evaluasi"))</f>
        <v/>
      </c>
      <c r="AI65" s="29" t="str">
        <f t="shared" ref="AI65:AJ65" si="74">IF(COUNTA(J65,O65,T65,Y65,AD65)=0,"",SUM(J65,O65,T65,Y65,AD65))</f>
        <v/>
      </c>
      <c r="AJ65" s="29" t="str">
        <f t="shared" si="74"/>
        <v/>
      </c>
      <c r="AK65" s="28" t="str">
        <f t="shared" si="15"/>
        <v/>
      </c>
      <c r="AL65" s="28" t="str">
        <f t="shared" si="16"/>
        <v/>
      </c>
      <c r="AM65" s="23" t="str">
        <f>IF(AL65="","",IF(AL65&gt;=Panduan!$B$4,"Terserap","Perlu Evaluasi"))</f>
        <v/>
      </c>
    </row>
    <row r="66" ht="15.75" customHeight="1">
      <c r="A66" s="23" t="str">
        <f t="shared" si="2"/>
        <v/>
      </c>
      <c r="B66" s="33"/>
      <c r="C66" s="23" t="str">
        <f t="shared" si="3"/>
        <v/>
      </c>
      <c r="D66" s="31"/>
      <c r="E66" s="31"/>
      <c r="F66" s="31"/>
      <c r="G66" s="31"/>
      <c r="H66" s="31"/>
      <c r="I66" s="32"/>
      <c r="J66" s="30"/>
      <c r="K66" s="30"/>
      <c r="L66" s="28" t="str">
        <f t="shared" si="4"/>
        <v/>
      </c>
      <c r="M66" s="28" t="str">
        <f t="shared" si="5"/>
        <v/>
      </c>
      <c r="N66" s="23" t="str">
        <f>IF(M66="","",IF(M66&gt;=Panduan!$B$4,"Terserap","Perlu Evaluasi"))</f>
        <v/>
      </c>
      <c r="O66" s="30"/>
      <c r="P66" s="30"/>
      <c r="Q66" s="28" t="str">
        <f t="shared" si="6"/>
        <v/>
      </c>
      <c r="R66" s="28" t="str">
        <f t="shared" si="7"/>
        <v/>
      </c>
      <c r="S66" s="23" t="str">
        <f>IF(R66="","",IF(R66&gt;=Panduan!$B$4,"Terserap","Perlu Evaluasi"))</f>
        <v/>
      </c>
      <c r="T66" s="30"/>
      <c r="U66" s="30"/>
      <c r="V66" s="28" t="str">
        <f t="shared" si="8"/>
        <v/>
      </c>
      <c r="W66" s="28" t="str">
        <f t="shared" si="9"/>
        <v/>
      </c>
      <c r="X66" s="23" t="str">
        <f>IF(W66="","",IF(W66&gt;=Panduan!$B$4,"Terserap","Perlu Evaluasi"))</f>
        <v/>
      </c>
      <c r="Y66" s="30"/>
      <c r="Z66" s="30"/>
      <c r="AA66" s="28" t="str">
        <f t="shared" si="10"/>
        <v/>
      </c>
      <c r="AB66" s="28" t="str">
        <f t="shared" si="11"/>
        <v/>
      </c>
      <c r="AC66" s="23" t="str">
        <f>IF(AB66="","",IF(AB66&gt;=Panduan!$B$4,"Terserap","Perlu Evaluasi"))</f>
        <v/>
      </c>
      <c r="AD66" s="30"/>
      <c r="AE66" s="30"/>
      <c r="AF66" s="28" t="str">
        <f t="shared" si="12"/>
        <v/>
      </c>
      <c r="AG66" s="28" t="str">
        <f t="shared" si="13"/>
        <v/>
      </c>
      <c r="AH66" s="23" t="str">
        <f>IF(AG66="","",IF(AG66&gt;=Panduan!$B$4,"Terserap","Perlu Evaluasi"))</f>
        <v/>
      </c>
      <c r="AI66" s="29" t="str">
        <f t="shared" ref="AI66:AJ66" si="75">IF(COUNTA(J66,O66,T66,Y66,AD66)=0,"",SUM(J66,O66,T66,Y66,AD66))</f>
        <v/>
      </c>
      <c r="AJ66" s="29" t="str">
        <f t="shared" si="75"/>
        <v/>
      </c>
      <c r="AK66" s="28" t="str">
        <f t="shared" si="15"/>
        <v/>
      </c>
      <c r="AL66" s="28" t="str">
        <f t="shared" si="16"/>
        <v/>
      </c>
      <c r="AM66" s="23" t="str">
        <f>IF(AL66="","",IF(AL66&gt;=Panduan!$B$4,"Terserap","Perlu Evaluasi"))</f>
        <v/>
      </c>
    </row>
    <row r="67" ht="15.75" customHeight="1">
      <c r="A67" s="23" t="str">
        <f t="shared" si="2"/>
        <v/>
      </c>
      <c r="B67" s="33"/>
      <c r="C67" s="23" t="str">
        <f t="shared" si="3"/>
        <v/>
      </c>
      <c r="D67" s="31"/>
      <c r="E67" s="31"/>
      <c r="F67" s="31"/>
      <c r="G67" s="31"/>
      <c r="H67" s="31"/>
      <c r="I67" s="32"/>
      <c r="J67" s="30"/>
      <c r="K67" s="30"/>
      <c r="L67" s="28" t="str">
        <f t="shared" si="4"/>
        <v/>
      </c>
      <c r="M67" s="28" t="str">
        <f t="shared" si="5"/>
        <v/>
      </c>
      <c r="N67" s="23" t="str">
        <f>IF(M67="","",IF(M67&gt;=Panduan!$B$4,"Terserap","Perlu Evaluasi"))</f>
        <v/>
      </c>
      <c r="O67" s="30"/>
      <c r="P67" s="30"/>
      <c r="Q67" s="28" t="str">
        <f t="shared" si="6"/>
        <v/>
      </c>
      <c r="R67" s="28" t="str">
        <f t="shared" si="7"/>
        <v/>
      </c>
      <c r="S67" s="23" t="str">
        <f>IF(R67="","",IF(R67&gt;=Panduan!$B$4,"Terserap","Perlu Evaluasi"))</f>
        <v/>
      </c>
      <c r="T67" s="30"/>
      <c r="U67" s="30"/>
      <c r="V67" s="28" t="str">
        <f t="shared" si="8"/>
        <v/>
      </c>
      <c r="W67" s="28" t="str">
        <f t="shared" si="9"/>
        <v/>
      </c>
      <c r="X67" s="23" t="str">
        <f>IF(W67="","",IF(W67&gt;=Panduan!$B$4,"Terserap","Perlu Evaluasi"))</f>
        <v/>
      </c>
      <c r="Y67" s="30"/>
      <c r="Z67" s="30"/>
      <c r="AA67" s="28" t="str">
        <f t="shared" si="10"/>
        <v/>
      </c>
      <c r="AB67" s="28" t="str">
        <f t="shared" si="11"/>
        <v/>
      </c>
      <c r="AC67" s="23" t="str">
        <f>IF(AB67="","",IF(AB67&gt;=Panduan!$B$4,"Terserap","Perlu Evaluasi"))</f>
        <v/>
      </c>
      <c r="AD67" s="30"/>
      <c r="AE67" s="30"/>
      <c r="AF67" s="28" t="str">
        <f t="shared" si="12"/>
        <v/>
      </c>
      <c r="AG67" s="28" t="str">
        <f t="shared" si="13"/>
        <v/>
      </c>
      <c r="AH67" s="23" t="str">
        <f>IF(AG67="","",IF(AG67&gt;=Panduan!$B$4,"Terserap","Perlu Evaluasi"))</f>
        <v/>
      </c>
      <c r="AI67" s="29" t="str">
        <f t="shared" ref="AI67:AJ67" si="76">IF(COUNTA(J67,O67,T67,Y67,AD67)=0,"",SUM(J67,O67,T67,Y67,AD67))</f>
        <v/>
      </c>
      <c r="AJ67" s="29" t="str">
        <f t="shared" si="76"/>
        <v/>
      </c>
      <c r="AK67" s="28" t="str">
        <f t="shared" si="15"/>
        <v/>
      </c>
      <c r="AL67" s="28" t="str">
        <f t="shared" si="16"/>
        <v/>
      </c>
      <c r="AM67" s="23" t="str">
        <f>IF(AL67="","",IF(AL67&gt;=Panduan!$B$4,"Terserap","Perlu Evaluasi"))</f>
        <v/>
      </c>
    </row>
    <row r="68" ht="15.75" customHeight="1">
      <c r="A68" s="23" t="str">
        <f t="shared" si="2"/>
        <v/>
      </c>
      <c r="B68" s="33"/>
      <c r="C68" s="23" t="str">
        <f t="shared" si="3"/>
        <v/>
      </c>
      <c r="D68" s="31"/>
      <c r="E68" s="31"/>
      <c r="F68" s="31"/>
      <c r="G68" s="31"/>
      <c r="H68" s="31"/>
      <c r="I68" s="32"/>
      <c r="J68" s="30"/>
      <c r="K68" s="30"/>
      <c r="L68" s="28" t="str">
        <f t="shared" si="4"/>
        <v/>
      </c>
      <c r="M68" s="28" t="str">
        <f t="shared" si="5"/>
        <v/>
      </c>
      <c r="N68" s="23" t="str">
        <f>IF(M68="","",IF(M68&gt;=Panduan!$B$4,"Terserap","Perlu Evaluasi"))</f>
        <v/>
      </c>
      <c r="O68" s="30"/>
      <c r="P68" s="30"/>
      <c r="Q68" s="28" t="str">
        <f t="shared" si="6"/>
        <v/>
      </c>
      <c r="R68" s="28" t="str">
        <f t="shared" si="7"/>
        <v/>
      </c>
      <c r="S68" s="23" t="str">
        <f>IF(R68="","",IF(R68&gt;=Panduan!$B$4,"Terserap","Perlu Evaluasi"))</f>
        <v/>
      </c>
      <c r="T68" s="30"/>
      <c r="U68" s="30"/>
      <c r="V68" s="28" t="str">
        <f t="shared" si="8"/>
        <v/>
      </c>
      <c r="W68" s="28" t="str">
        <f t="shared" si="9"/>
        <v/>
      </c>
      <c r="X68" s="23" t="str">
        <f>IF(W68="","",IF(W68&gt;=Panduan!$B$4,"Terserap","Perlu Evaluasi"))</f>
        <v/>
      </c>
      <c r="Y68" s="30"/>
      <c r="Z68" s="30"/>
      <c r="AA68" s="28" t="str">
        <f t="shared" si="10"/>
        <v/>
      </c>
      <c r="AB68" s="28" t="str">
        <f t="shared" si="11"/>
        <v/>
      </c>
      <c r="AC68" s="23" t="str">
        <f>IF(AB68="","",IF(AB68&gt;=Panduan!$B$4,"Terserap","Perlu Evaluasi"))</f>
        <v/>
      </c>
      <c r="AD68" s="30"/>
      <c r="AE68" s="30"/>
      <c r="AF68" s="28" t="str">
        <f t="shared" si="12"/>
        <v/>
      </c>
      <c r="AG68" s="28" t="str">
        <f t="shared" si="13"/>
        <v/>
      </c>
      <c r="AH68" s="23" t="str">
        <f>IF(AG68="","",IF(AG68&gt;=Panduan!$B$4,"Terserap","Perlu Evaluasi"))</f>
        <v/>
      </c>
      <c r="AI68" s="29" t="str">
        <f t="shared" ref="AI68:AJ68" si="77">IF(COUNTA(J68,O68,T68,Y68,AD68)=0,"",SUM(J68,O68,T68,Y68,AD68))</f>
        <v/>
      </c>
      <c r="AJ68" s="29" t="str">
        <f t="shared" si="77"/>
        <v/>
      </c>
      <c r="AK68" s="28" t="str">
        <f t="shared" si="15"/>
        <v/>
      </c>
      <c r="AL68" s="28" t="str">
        <f t="shared" si="16"/>
        <v/>
      </c>
      <c r="AM68" s="23" t="str">
        <f>IF(AL68="","",IF(AL68&gt;=Panduan!$B$4,"Terserap","Perlu Evaluasi"))</f>
        <v/>
      </c>
    </row>
    <row r="69" ht="15.75" customHeight="1">
      <c r="A69" s="23" t="str">
        <f t="shared" si="2"/>
        <v/>
      </c>
      <c r="B69" s="33"/>
      <c r="C69" s="23" t="str">
        <f t="shared" si="3"/>
        <v/>
      </c>
      <c r="D69" s="31"/>
      <c r="E69" s="31"/>
      <c r="F69" s="31"/>
      <c r="G69" s="31"/>
      <c r="H69" s="31"/>
      <c r="I69" s="32"/>
      <c r="J69" s="30"/>
      <c r="K69" s="30"/>
      <c r="L69" s="28" t="str">
        <f t="shared" si="4"/>
        <v/>
      </c>
      <c r="M69" s="28" t="str">
        <f t="shared" si="5"/>
        <v/>
      </c>
      <c r="N69" s="23" t="str">
        <f>IF(M69="","",IF(M69&gt;=Panduan!$B$4,"Terserap","Perlu Evaluasi"))</f>
        <v/>
      </c>
      <c r="O69" s="30"/>
      <c r="P69" s="30"/>
      <c r="Q69" s="28" t="str">
        <f t="shared" si="6"/>
        <v/>
      </c>
      <c r="R69" s="28" t="str">
        <f t="shared" si="7"/>
        <v/>
      </c>
      <c r="S69" s="23" t="str">
        <f>IF(R69="","",IF(R69&gt;=Panduan!$B$4,"Terserap","Perlu Evaluasi"))</f>
        <v/>
      </c>
      <c r="T69" s="30"/>
      <c r="U69" s="30"/>
      <c r="V69" s="28" t="str">
        <f t="shared" si="8"/>
        <v/>
      </c>
      <c r="W69" s="28" t="str">
        <f t="shared" si="9"/>
        <v/>
      </c>
      <c r="X69" s="23" t="str">
        <f>IF(W69="","",IF(W69&gt;=Panduan!$B$4,"Terserap","Perlu Evaluasi"))</f>
        <v/>
      </c>
      <c r="Y69" s="30"/>
      <c r="Z69" s="30"/>
      <c r="AA69" s="28" t="str">
        <f t="shared" si="10"/>
        <v/>
      </c>
      <c r="AB69" s="28" t="str">
        <f t="shared" si="11"/>
        <v/>
      </c>
      <c r="AC69" s="23" t="str">
        <f>IF(AB69="","",IF(AB69&gt;=Panduan!$B$4,"Terserap","Perlu Evaluasi"))</f>
        <v/>
      </c>
      <c r="AD69" s="30"/>
      <c r="AE69" s="30"/>
      <c r="AF69" s="28" t="str">
        <f t="shared" si="12"/>
        <v/>
      </c>
      <c r="AG69" s="28" t="str">
        <f t="shared" si="13"/>
        <v/>
      </c>
      <c r="AH69" s="23" t="str">
        <f>IF(AG69="","",IF(AG69&gt;=Panduan!$B$4,"Terserap","Perlu Evaluasi"))</f>
        <v/>
      </c>
      <c r="AI69" s="29" t="str">
        <f t="shared" ref="AI69:AJ69" si="78">IF(COUNTA(J69,O69,T69,Y69,AD69)=0,"",SUM(J69,O69,T69,Y69,AD69))</f>
        <v/>
      </c>
      <c r="AJ69" s="29" t="str">
        <f t="shared" si="78"/>
        <v/>
      </c>
      <c r="AK69" s="28" t="str">
        <f t="shared" si="15"/>
        <v/>
      </c>
      <c r="AL69" s="28" t="str">
        <f t="shared" si="16"/>
        <v/>
      </c>
      <c r="AM69" s="23" t="str">
        <f>IF(AL69="","",IF(AL69&gt;=Panduan!$B$4,"Terserap","Perlu Evaluasi"))</f>
        <v/>
      </c>
    </row>
    <row r="70" ht="15.75" customHeight="1">
      <c r="A70" s="23" t="str">
        <f t="shared" si="2"/>
        <v/>
      </c>
      <c r="B70" s="33"/>
      <c r="C70" s="23" t="str">
        <f t="shared" si="3"/>
        <v/>
      </c>
      <c r="D70" s="31"/>
      <c r="E70" s="31"/>
      <c r="F70" s="31"/>
      <c r="G70" s="31"/>
      <c r="H70" s="31"/>
      <c r="I70" s="32"/>
      <c r="J70" s="30"/>
      <c r="K70" s="30"/>
      <c r="L70" s="28" t="str">
        <f t="shared" si="4"/>
        <v/>
      </c>
      <c r="M70" s="28" t="str">
        <f t="shared" si="5"/>
        <v/>
      </c>
      <c r="N70" s="23" t="str">
        <f>IF(M70="","",IF(M70&gt;=Panduan!$B$4,"Terserap","Perlu Evaluasi"))</f>
        <v/>
      </c>
      <c r="O70" s="30"/>
      <c r="P70" s="30"/>
      <c r="Q70" s="28" t="str">
        <f t="shared" si="6"/>
        <v/>
      </c>
      <c r="R70" s="28" t="str">
        <f t="shared" si="7"/>
        <v/>
      </c>
      <c r="S70" s="23" t="str">
        <f>IF(R70="","",IF(R70&gt;=Panduan!$B$4,"Terserap","Perlu Evaluasi"))</f>
        <v/>
      </c>
      <c r="T70" s="30"/>
      <c r="U70" s="30"/>
      <c r="V70" s="28" t="str">
        <f t="shared" si="8"/>
        <v/>
      </c>
      <c r="W70" s="28" t="str">
        <f t="shared" si="9"/>
        <v/>
      </c>
      <c r="X70" s="23" t="str">
        <f>IF(W70="","",IF(W70&gt;=Panduan!$B$4,"Terserap","Perlu Evaluasi"))</f>
        <v/>
      </c>
      <c r="Y70" s="30"/>
      <c r="Z70" s="30"/>
      <c r="AA70" s="28" t="str">
        <f t="shared" si="10"/>
        <v/>
      </c>
      <c r="AB70" s="28" t="str">
        <f t="shared" si="11"/>
        <v/>
      </c>
      <c r="AC70" s="23" t="str">
        <f>IF(AB70="","",IF(AB70&gt;=Panduan!$B$4,"Terserap","Perlu Evaluasi"))</f>
        <v/>
      </c>
      <c r="AD70" s="30"/>
      <c r="AE70" s="30"/>
      <c r="AF70" s="28" t="str">
        <f t="shared" si="12"/>
        <v/>
      </c>
      <c r="AG70" s="28" t="str">
        <f t="shared" si="13"/>
        <v/>
      </c>
      <c r="AH70" s="23" t="str">
        <f>IF(AG70="","",IF(AG70&gt;=Panduan!$B$4,"Terserap","Perlu Evaluasi"))</f>
        <v/>
      </c>
      <c r="AI70" s="29" t="str">
        <f t="shared" ref="AI70:AJ70" si="79">IF(COUNTA(J70,O70,T70,Y70,AD70)=0,"",SUM(J70,O70,T70,Y70,AD70))</f>
        <v/>
      </c>
      <c r="AJ70" s="29" t="str">
        <f t="shared" si="79"/>
        <v/>
      </c>
      <c r="AK70" s="28" t="str">
        <f t="shared" si="15"/>
        <v/>
      </c>
      <c r="AL70" s="28" t="str">
        <f t="shared" si="16"/>
        <v/>
      </c>
      <c r="AM70" s="23" t="str">
        <f>IF(AL70="","",IF(AL70&gt;=Panduan!$B$4,"Terserap","Perlu Evaluasi"))</f>
        <v/>
      </c>
    </row>
    <row r="71" ht="15.75" customHeight="1">
      <c r="A71" s="23" t="str">
        <f t="shared" si="2"/>
        <v/>
      </c>
      <c r="B71" s="33"/>
      <c r="C71" s="23" t="str">
        <f t="shared" si="3"/>
        <v/>
      </c>
      <c r="D71" s="31"/>
      <c r="E71" s="31"/>
      <c r="F71" s="31"/>
      <c r="G71" s="31"/>
      <c r="H71" s="31"/>
      <c r="I71" s="32"/>
      <c r="J71" s="30"/>
      <c r="K71" s="30"/>
      <c r="L71" s="28" t="str">
        <f t="shared" si="4"/>
        <v/>
      </c>
      <c r="M71" s="28" t="str">
        <f t="shared" si="5"/>
        <v/>
      </c>
      <c r="N71" s="23" t="str">
        <f>IF(M71="","",IF(M71&gt;=Panduan!$B$4,"Terserap","Perlu Evaluasi"))</f>
        <v/>
      </c>
      <c r="O71" s="30"/>
      <c r="P71" s="30"/>
      <c r="Q71" s="28" t="str">
        <f t="shared" si="6"/>
        <v/>
      </c>
      <c r="R71" s="28" t="str">
        <f t="shared" si="7"/>
        <v/>
      </c>
      <c r="S71" s="23" t="str">
        <f>IF(R71="","",IF(R71&gt;=Panduan!$B$4,"Terserap","Perlu Evaluasi"))</f>
        <v/>
      </c>
      <c r="T71" s="30"/>
      <c r="U71" s="30"/>
      <c r="V71" s="28" t="str">
        <f t="shared" si="8"/>
        <v/>
      </c>
      <c r="W71" s="28" t="str">
        <f t="shared" si="9"/>
        <v/>
      </c>
      <c r="X71" s="23" t="str">
        <f>IF(W71="","",IF(W71&gt;=Panduan!$B$4,"Terserap","Perlu Evaluasi"))</f>
        <v/>
      </c>
      <c r="Y71" s="30"/>
      <c r="Z71" s="30"/>
      <c r="AA71" s="28" t="str">
        <f t="shared" si="10"/>
        <v/>
      </c>
      <c r="AB71" s="28" t="str">
        <f t="shared" si="11"/>
        <v/>
      </c>
      <c r="AC71" s="23" t="str">
        <f>IF(AB71="","",IF(AB71&gt;=Panduan!$B$4,"Terserap","Perlu Evaluasi"))</f>
        <v/>
      </c>
      <c r="AD71" s="30"/>
      <c r="AE71" s="30"/>
      <c r="AF71" s="28" t="str">
        <f t="shared" si="12"/>
        <v/>
      </c>
      <c r="AG71" s="28" t="str">
        <f t="shared" si="13"/>
        <v/>
      </c>
      <c r="AH71" s="23" t="str">
        <f>IF(AG71="","",IF(AG71&gt;=Panduan!$B$4,"Terserap","Perlu Evaluasi"))</f>
        <v/>
      </c>
      <c r="AI71" s="29" t="str">
        <f t="shared" ref="AI71:AJ71" si="80">IF(COUNTA(J71,O71,T71,Y71,AD71)=0,"",SUM(J71,O71,T71,Y71,AD71))</f>
        <v/>
      </c>
      <c r="AJ71" s="29" t="str">
        <f t="shared" si="80"/>
        <v/>
      </c>
      <c r="AK71" s="28" t="str">
        <f t="shared" si="15"/>
        <v/>
      </c>
      <c r="AL71" s="28" t="str">
        <f t="shared" si="16"/>
        <v/>
      </c>
      <c r="AM71" s="23" t="str">
        <f>IF(AL71="","",IF(AL71&gt;=Panduan!$B$4,"Terserap","Perlu Evaluasi"))</f>
        <v/>
      </c>
    </row>
    <row r="72" ht="15.75" customHeight="1">
      <c r="A72" s="23" t="str">
        <f t="shared" si="2"/>
        <v/>
      </c>
      <c r="B72" s="33"/>
      <c r="C72" s="23" t="str">
        <f t="shared" si="3"/>
        <v/>
      </c>
      <c r="D72" s="31"/>
      <c r="E72" s="31"/>
      <c r="F72" s="31"/>
      <c r="G72" s="31"/>
      <c r="H72" s="31"/>
      <c r="I72" s="32"/>
      <c r="J72" s="30"/>
      <c r="K72" s="30"/>
      <c r="L72" s="28" t="str">
        <f t="shared" si="4"/>
        <v/>
      </c>
      <c r="M72" s="28" t="str">
        <f t="shared" si="5"/>
        <v/>
      </c>
      <c r="N72" s="23" t="str">
        <f>IF(M72="","",IF(M72&gt;=Panduan!$B$4,"Terserap","Perlu Evaluasi"))</f>
        <v/>
      </c>
      <c r="O72" s="30"/>
      <c r="P72" s="30"/>
      <c r="Q72" s="28" t="str">
        <f t="shared" si="6"/>
        <v/>
      </c>
      <c r="R72" s="28" t="str">
        <f t="shared" si="7"/>
        <v/>
      </c>
      <c r="S72" s="23" t="str">
        <f>IF(R72="","",IF(R72&gt;=Panduan!$B$4,"Terserap","Perlu Evaluasi"))</f>
        <v/>
      </c>
      <c r="T72" s="30"/>
      <c r="U72" s="30"/>
      <c r="V72" s="28" t="str">
        <f t="shared" si="8"/>
        <v/>
      </c>
      <c r="W72" s="28" t="str">
        <f t="shared" si="9"/>
        <v/>
      </c>
      <c r="X72" s="23" t="str">
        <f>IF(W72="","",IF(W72&gt;=Panduan!$B$4,"Terserap","Perlu Evaluasi"))</f>
        <v/>
      </c>
      <c r="Y72" s="30"/>
      <c r="Z72" s="30"/>
      <c r="AA72" s="28" t="str">
        <f t="shared" si="10"/>
        <v/>
      </c>
      <c r="AB72" s="28" t="str">
        <f t="shared" si="11"/>
        <v/>
      </c>
      <c r="AC72" s="23" t="str">
        <f>IF(AB72="","",IF(AB72&gt;=Panduan!$B$4,"Terserap","Perlu Evaluasi"))</f>
        <v/>
      </c>
      <c r="AD72" s="30"/>
      <c r="AE72" s="30"/>
      <c r="AF72" s="28" t="str">
        <f t="shared" si="12"/>
        <v/>
      </c>
      <c r="AG72" s="28" t="str">
        <f t="shared" si="13"/>
        <v/>
      </c>
      <c r="AH72" s="23" t="str">
        <f>IF(AG72="","",IF(AG72&gt;=Panduan!$B$4,"Terserap","Perlu Evaluasi"))</f>
        <v/>
      </c>
      <c r="AI72" s="29" t="str">
        <f t="shared" ref="AI72:AJ72" si="81">IF(COUNTA(J72,O72,T72,Y72,AD72)=0,"",SUM(J72,O72,T72,Y72,AD72))</f>
        <v/>
      </c>
      <c r="AJ72" s="29" t="str">
        <f t="shared" si="81"/>
        <v/>
      </c>
      <c r="AK72" s="28" t="str">
        <f t="shared" si="15"/>
        <v/>
      </c>
      <c r="AL72" s="28" t="str">
        <f t="shared" si="16"/>
        <v/>
      </c>
      <c r="AM72" s="23" t="str">
        <f>IF(AL72="","",IF(AL72&gt;=Panduan!$B$4,"Terserap","Perlu Evaluasi"))</f>
        <v/>
      </c>
    </row>
    <row r="73" ht="15.75" customHeight="1">
      <c r="A73" s="23" t="str">
        <f t="shared" si="2"/>
        <v/>
      </c>
      <c r="B73" s="33"/>
      <c r="C73" s="23" t="str">
        <f t="shared" si="3"/>
        <v/>
      </c>
      <c r="D73" s="31"/>
      <c r="E73" s="31"/>
      <c r="F73" s="31"/>
      <c r="G73" s="31"/>
      <c r="H73" s="31"/>
      <c r="I73" s="32"/>
      <c r="J73" s="30"/>
      <c r="K73" s="30"/>
      <c r="L73" s="28" t="str">
        <f t="shared" si="4"/>
        <v/>
      </c>
      <c r="M73" s="28" t="str">
        <f t="shared" si="5"/>
        <v/>
      </c>
      <c r="N73" s="23" t="str">
        <f>IF(M73="","",IF(M73&gt;=Panduan!$B$4,"Terserap","Perlu Evaluasi"))</f>
        <v/>
      </c>
      <c r="O73" s="30"/>
      <c r="P73" s="30"/>
      <c r="Q73" s="28" t="str">
        <f t="shared" si="6"/>
        <v/>
      </c>
      <c r="R73" s="28" t="str">
        <f t="shared" si="7"/>
        <v/>
      </c>
      <c r="S73" s="23" t="str">
        <f>IF(R73="","",IF(R73&gt;=Panduan!$B$4,"Terserap","Perlu Evaluasi"))</f>
        <v/>
      </c>
      <c r="T73" s="30"/>
      <c r="U73" s="30"/>
      <c r="V73" s="28" t="str">
        <f t="shared" si="8"/>
        <v/>
      </c>
      <c r="W73" s="28" t="str">
        <f t="shared" si="9"/>
        <v/>
      </c>
      <c r="X73" s="23" t="str">
        <f>IF(W73="","",IF(W73&gt;=Panduan!$B$4,"Terserap","Perlu Evaluasi"))</f>
        <v/>
      </c>
      <c r="Y73" s="30"/>
      <c r="Z73" s="30"/>
      <c r="AA73" s="28" t="str">
        <f t="shared" si="10"/>
        <v/>
      </c>
      <c r="AB73" s="28" t="str">
        <f t="shared" si="11"/>
        <v/>
      </c>
      <c r="AC73" s="23" t="str">
        <f>IF(AB73="","",IF(AB73&gt;=Panduan!$B$4,"Terserap","Perlu Evaluasi"))</f>
        <v/>
      </c>
      <c r="AD73" s="30"/>
      <c r="AE73" s="30"/>
      <c r="AF73" s="28" t="str">
        <f t="shared" si="12"/>
        <v/>
      </c>
      <c r="AG73" s="28" t="str">
        <f t="shared" si="13"/>
        <v/>
      </c>
      <c r="AH73" s="23" t="str">
        <f>IF(AG73="","",IF(AG73&gt;=Panduan!$B$4,"Terserap","Perlu Evaluasi"))</f>
        <v/>
      </c>
      <c r="AI73" s="29" t="str">
        <f t="shared" ref="AI73:AJ73" si="82">IF(COUNTA(J73,O73,T73,Y73,AD73)=0,"",SUM(J73,O73,T73,Y73,AD73))</f>
        <v/>
      </c>
      <c r="AJ73" s="29" t="str">
        <f t="shared" si="82"/>
        <v/>
      </c>
      <c r="AK73" s="28" t="str">
        <f t="shared" si="15"/>
        <v/>
      </c>
      <c r="AL73" s="28" t="str">
        <f t="shared" si="16"/>
        <v/>
      </c>
      <c r="AM73" s="23" t="str">
        <f>IF(AL73="","",IF(AL73&gt;=Panduan!$B$4,"Terserap","Perlu Evaluasi"))</f>
        <v/>
      </c>
    </row>
    <row r="74" ht="15.75" customHeight="1">
      <c r="A74" s="23" t="str">
        <f t="shared" si="2"/>
        <v/>
      </c>
      <c r="B74" s="33"/>
      <c r="C74" s="23" t="str">
        <f t="shared" si="3"/>
        <v/>
      </c>
      <c r="D74" s="31"/>
      <c r="E74" s="31"/>
      <c r="F74" s="31"/>
      <c r="G74" s="31"/>
      <c r="H74" s="31"/>
      <c r="I74" s="32"/>
      <c r="J74" s="30"/>
      <c r="K74" s="30"/>
      <c r="L74" s="28" t="str">
        <f t="shared" si="4"/>
        <v/>
      </c>
      <c r="M74" s="28" t="str">
        <f t="shared" si="5"/>
        <v/>
      </c>
      <c r="N74" s="23" t="str">
        <f>IF(M74="","",IF(M74&gt;=Panduan!$B$4,"Terserap","Perlu Evaluasi"))</f>
        <v/>
      </c>
      <c r="O74" s="30"/>
      <c r="P74" s="30"/>
      <c r="Q74" s="28" t="str">
        <f t="shared" si="6"/>
        <v/>
      </c>
      <c r="R74" s="28" t="str">
        <f t="shared" si="7"/>
        <v/>
      </c>
      <c r="S74" s="23" t="str">
        <f>IF(R74="","",IF(R74&gt;=Panduan!$B$4,"Terserap","Perlu Evaluasi"))</f>
        <v/>
      </c>
      <c r="T74" s="30"/>
      <c r="U74" s="30"/>
      <c r="V74" s="28" t="str">
        <f t="shared" si="8"/>
        <v/>
      </c>
      <c r="W74" s="28" t="str">
        <f t="shared" si="9"/>
        <v/>
      </c>
      <c r="X74" s="23" t="str">
        <f>IF(W74="","",IF(W74&gt;=Panduan!$B$4,"Terserap","Perlu Evaluasi"))</f>
        <v/>
      </c>
      <c r="Y74" s="30"/>
      <c r="Z74" s="30"/>
      <c r="AA74" s="28" t="str">
        <f t="shared" si="10"/>
        <v/>
      </c>
      <c r="AB74" s="28" t="str">
        <f t="shared" si="11"/>
        <v/>
      </c>
      <c r="AC74" s="23" t="str">
        <f>IF(AB74="","",IF(AB74&gt;=Panduan!$B$4,"Terserap","Perlu Evaluasi"))</f>
        <v/>
      </c>
      <c r="AD74" s="30"/>
      <c r="AE74" s="30"/>
      <c r="AF74" s="28" t="str">
        <f t="shared" si="12"/>
        <v/>
      </c>
      <c r="AG74" s="28" t="str">
        <f t="shared" si="13"/>
        <v/>
      </c>
      <c r="AH74" s="23" t="str">
        <f>IF(AG74="","",IF(AG74&gt;=Panduan!$B$4,"Terserap","Perlu Evaluasi"))</f>
        <v/>
      </c>
      <c r="AI74" s="29" t="str">
        <f t="shared" ref="AI74:AJ74" si="83">IF(COUNTA(J74,O74,T74,Y74,AD74)=0,"",SUM(J74,O74,T74,Y74,AD74))</f>
        <v/>
      </c>
      <c r="AJ74" s="29" t="str">
        <f t="shared" si="83"/>
        <v/>
      </c>
      <c r="AK74" s="28" t="str">
        <f t="shared" si="15"/>
        <v/>
      </c>
      <c r="AL74" s="28" t="str">
        <f t="shared" si="16"/>
        <v/>
      </c>
      <c r="AM74" s="23" t="str">
        <f>IF(AL74="","",IF(AL74&gt;=Panduan!$B$4,"Terserap","Perlu Evaluasi"))</f>
        <v/>
      </c>
    </row>
    <row r="75" ht="15.75" customHeight="1">
      <c r="A75" s="23" t="str">
        <f t="shared" si="2"/>
        <v/>
      </c>
      <c r="B75" s="33"/>
      <c r="C75" s="23" t="str">
        <f t="shared" si="3"/>
        <v/>
      </c>
      <c r="D75" s="31"/>
      <c r="E75" s="31"/>
      <c r="F75" s="31"/>
      <c r="G75" s="31"/>
      <c r="H75" s="31"/>
      <c r="I75" s="32"/>
      <c r="J75" s="30"/>
      <c r="K75" s="30"/>
      <c r="L75" s="28" t="str">
        <f t="shared" si="4"/>
        <v/>
      </c>
      <c r="M75" s="28" t="str">
        <f t="shared" si="5"/>
        <v/>
      </c>
      <c r="N75" s="23" t="str">
        <f>IF(M75="","",IF(M75&gt;=Panduan!$B$4,"Terserap","Perlu Evaluasi"))</f>
        <v/>
      </c>
      <c r="O75" s="30"/>
      <c r="P75" s="30"/>
      <c r="Q75" s="28" t="str">
        <f t="shared" si="6"/>
        <v/>
      </c>
      <c r="R75" s="28" t="str">
        <f t="shared" si="7"/>
        <v/>
      </c>
      <c r="S75" s="23" t="str">
        <f>IF(R75="","",IF(R75&gt;=Panduan!$B$4,"Terserap","Perlu Evaluasi"))</f>
        <v/>
      </c>
      <c r="T75" s="30"/>
      <c r="U75" s="30"/>
      <c r="V75" s="28" t="str">
        <f t="shared" si="8"/>
        <v/>
      </c>
      <c r="W75" s="28" t="str">
        <f t="shared" si="9"/>
        <v/>
      </c>
      <c r="X75" s="23" t="str">
        <f>IF(W75="","",IF(W75&gt;=Panduan!$B$4,"Terserap","Perlu Evaluasi"))</f>
        <v/>
      </c>
      <c r="Y75" s="30"/>
      <c r="Z75" s="30"/>
      <c r="AA75" s="28" t="str">
        <f t="shared" si="10"/>
        <v/>
      </c>
      <c r="AB75" s="28" t="str">
        <f t="shared" si="11"/>
        <v/>
      </c>
      <c r="AC75" s="23" t="str">
        <f>IF(AB75="","",IF(AB75&gt;=Panduan!$B$4,"Terserap","Perlu Evaluasi"))</f>
        <v/>
      </c>
      <c r="AD75" s="30"/>
      <c r="AE75" s="30"/>
      <c r="AF75" s="28" t="str">
        <f t="shared" si="12"/>
        <v/>
      </c>
      <c r="AG75" s="28" t="str">
        <f t="shared" si="13"/>
        <v/>
      </c>
      <c r="AH75" s="23" t="str">
        <f>IF(AG75="","",IF(AG75&gt;=Panduan!$B$4,"Terserap","Perlu Evaluasi"))</f>
        <v/>
      </c>
      <c r="AI75" s="29" t="str">
        <f t="shared" ref="AI75:AJ75" si="84">IF(COUNTA(J75,O75,T75,Y75,AD75)=0,"",SUM(J75,O75,T75,Y75,AD75))</f>
        <v/>
      </c>
      <c r="AJ75" s="29" t="str">
        <f t="shared" si="84"/>
        <v/>
      </c>
      <c r="AK75" s="28" t="str">
        <f t="shared" si="15"/>
        <v/>
      </c>
      <c r="AL75" s="28" t="str">
        <f t="shared" si="16"/>
        <v/>
      </c>
      <c r="AM75" s="23" t="str">
        <f>IF(AL75="","",IF(AL75&gt;=Panduan!$B$4,"Terserap","Perlu Evaluasi"))</f>
        <v/>
      </c>
    </row>
    <row r="76" ht="15.75" customHeight="1">
      <c r="A76" s="23" t="str">
        <f t="shared" si="2"/>
        <v/>
      </c>
      <c r="B76" s="33"/>
      <c r="C76" s="23" t="str">
        <f t="shared" si="3"/>
        <v/>
      </c>
      <c r="D76" s="31"/>
      <c r="E76" s="31"/>
      <c r="F76" s="31"/>
      <c r="G76" s="31"/>
      <c r="H76" s="31"/>
      <c r="I76" s="32"/>
      <c r="J76" s="30"/>
      <c r="K76" s="30"/>
      <c r="L76" s="28" t="str">
        <f t="shared" si="4"/>
        <v/>
      </c>
      <c r="M76" s="28" t="str">
        <f t="shared" si="5"/>
        <v/>
      </c>
      <c r="N76" s="23" t="str">
        <f>IF(M76="","",IF(M76&gt;=Panduan!$B$4,"Terserap","Perlu Evaluasi"))</f>
        <v/>
      </c>
      <c r="O76" s="30"/>
      <c r="P76" s="30"/>
      <c r="Q76" s="28" t="str">
        <f t="shared" si="6"/>
        <v/>
      </c>
      <c r="R76" s="28" t="str">
        <f t="shared" si="7"/>
        <v/>
      </c>
      <c r="S76" s="23" t="str">
        <f>IF(R76="","",IF(R76&gt;=Panduan!$B$4,"Terserap","Perlu Evaluasi"))</f>
        <v/>
      </c>
      <c r="T76" s="30"/>
      <c r="U76" s="30"/>
      <c r="V76" s="28" t="str">
        <f t="shared" si="8"/>
        <v/>
      </c>
      <c r="W76" s="28" t="str">
        <f t="shared" si="9"/>
        <v/>
      </c>
      <c r="X76" s="23" t="str">
        <f>IF(W76="","",IF(W76&gt;=Panduan!$B$4,"Terserap","Perlu Evaluasi"))</f>
        <v/>
      </c>
      <c r="Y76" s="30"/>
      <c r="Z76" s="30"/>
      <c r="AA76" s="28" t="str">
        <f t="shared" si="10"/>
        <v/>
      </c>
      <c r="AB76" s="28" t="str">
        <f t="shared" si="11"/>
        <v/>
      </c>
      <c r="AC76" s="23" t="str">
        <f>IF(AB76="","",IF(AB76&gt;=Panduan!$B$4,"Terserap","Perlu Evaluasi"))</f>
        <v/>
      </c>
      <c r="AD76" s="30"/>
      <c r="AE76" s="30"/>
      <c r="AF76" s="28" t="str">
        <f t="shared" si="12"/>
        <v/>
      </c>
      <c r="AG76" s="28" t="str">
        <f t="shared" si="13"/>
        <v/>
      </c>
      <c r="AH76" s="23" t="str">
        <f>IF(AG76="","",IF(AG76&gt;=Panduan!$B$4,"Terserap","Perlu Evaluasi"))</f>
        <v/>
      </c>
      <c r="AI76" s="29" t="str">
        <f t="shared" ref="AI76:AJ76" si="85">IF(COUNTA(J76,O76,T76,Y76,AD76)=0,"",SUM(J76,O76,T76,Y76,AD76))</f>
        <v/>
      </c>
      <c r="AJ76" s="29" t="str">
        <f t="shared" si="85"/>
        <v/>
      </c>
      <c r="AK76" s="28" t="str">
        <f t="shared" si="15"/>
        <v/>
      </c>
      <c r="AL76" s="28" t="str">
        <f t="shared" si="16"/>
        <v/>
      </c>
      <c r="AM76" s="23" t="str">
        <f>IF(AL76="","",IF(AL76&gt;=Panduan!$B$4,"Terserap","Perlu Evaluasi"))</f>
        <v/>
      </c>
    </row>
    <row r="77" ht="15.75" customHeight="1">
      <c r="A77" s="23" t="str">
        <f t="shared" si="2"/>
        <v/>
      </c>
      <c r="B77" s="33"/>
      <c r="C77" s="23" t="str">
        <f t="shared" si="3"/>
        <v/>
      </c>
      <c r="D77" s="31"/>
      <c r="E77" s="31"/>
      <c r="F77" s="31"/>
      <c r="G77" s="31"/>
      <c r="H77" s="31"/>
      <c r="I77" s="32"/>
      <c r="J77" s="30"/>
      <c r="K77" s="30"/>
      <c r="L77" s="28" t="str">
        <f t="shared" si="4"/>
        <v/>
      </c>
      <c r="M77" s="28" t="str">
        <f t="shared" si="5"/>
        <v/>
      </c>
      <c r="N77" s="23" t="str">
        <f>IF(M77="","",IF(M77&gt;=Panduan!$B$4,"Terserap","Perlu Evaluasi"))</f>
        <v/>
      </c>
      <c r="O77" s="30"/>
      <c r="P77" s="30"/>
      <c r="Q77" s="28" t="str">
        <f t="shared" si="6"/>
        <v/>
      </c>
      <c r="R77" s="28" t="str">
        <f t="shared" si="7"/>
        <v/>
      </c>
      <c r="S77" s="23" t="str">
        <f>IF(R77="","",IF(R77&gt;=Panduan!$B$4,"Terserap","Perlu Evaluasi"))</f>
        <v/>
      </c>
      <c r="T77" s="30"/>
      <c r="U77" s="30"/>
      <c r="V77" s="28" t="str">
        <f t="shared" si="8"/>
        <v/>
      </c>
      <c r="W77" s="28" t="str">
        <f t="shared" si="9"/>
        <v/>
      </c>
      <c r="X77" s="23" t="str">
        <f>IF(W77="","",IF(W77&gt;=Panduan!$B$4,"Terserap","Perlu Evaluasi"))</f>
        <v/>
      </c>
      <c r="Y77" s="30"/>
      <c r="Z77" s="30"/>
      <c r="AA77" s="28" t="str">
        <f t="shared" si="10"/>
        <v/>
      </c>
      <c r="AB77" s="28" t="str">
        <f t="shared" si="11"/>
        <v/>
      </c>
      <c r="AC77" s="23" t="str">
        <f>IF(AB77="","",IF(AB77&gt;=Panduan!$B$4,"Terserap","Perlu Evaluasi"))</f>
        <v/>
      </c>
      <c r="AD77" s="30"/>
      <c r="AE77" s="30"/>
      <c r="AF77" s="28" t="str">
        <f t="shared" si="12"/>
        <v/>
      </c>
      <c r="AG77" s="28" t="str">
        <f t="shared" si="13"/>
        <v/>
      </c>
      <c r="AH77" s="23" t="str">
        <f>IF(AG77="","",IF(AG77&gt;=Panduan!$B$4,"Terserap","Perlu Evaluasi"))</f>
        <v/>
      </c>
      <c r="AI77" s="29" t="str">
        <f t="shared" ref="AI77:AJ77" si="86">IF(COUNTA(J77,O77,T77,Y77,AD77)=0,"",SUM(J77,O77,T77,Y77,AD77))</f>
        <v/>
      </c>
      <c r="AJ77" s="29" t="str">
        <f t="shared" si="86"/>
        <v/>
      </c>
      <c r="AK77" s="28" t="str">
        <f t="shared" si="15"/>
        <v/>
      </c>
      <c r="AL77" s="28" t="str">
        <f t="shared" si="16"/>
        <v/>
      </c>
      <c r="AM77" s="23" t="str">
        <f>IF(AL77="","",IF(AL77&gt;=Panduan!$B$4,"Terserap","Perlu Evaluasi"))</f>
        <v/>
      </c>
    </row>
    <row r="78" ht="15.75" customHeight="1">
      <c r="A78" s="23" t="str">
        <f t="shared" si="2"/>
        <v/>
      </c>
      <c r="B78" s="33"/>
      <c r="C78" s="23" t="str">
        <f t="shared" si="3"/>
        <v/>
      </c>
      <c r="D78" s="31"/>
      <c r="E78" s="31"/>
      <c r="F78" s="31"/>
      <c r="G78" s="31"/>
      <c r="H78" s="31"/>
      <c r="I78" s="32"/>
      <c r="J78" s="30"/>
      <c r="K78" s="30"/>
      <c r="L78" s="28" t="str">
        <f t="shared" si="4"/>
        <v/>
      </c>
      <c r="M78" s="28" t="str">
        <f t="shared" si="5"/>
        <v/>
      </c>
      <c r="N78" s="23" t="str">
        <f>IF(M78="","",IF(M78&gt;=Panduan!$B$4,"Terserap","Perlu Evaluasi"))</f>
        <v/>
      </c>
      <c r="O78" s="30"/>
      <c r="P78" s="30"/>
      <c r="Q78" s="28" t="str">
        <f t="shared" si="6"/>
        <v/>
      </c>
      <c r="R78" s="28" t="str">
        <f t="shared" si="7"/>
        <v/>
      </c>
      <c r="S78" s="23" t="str">
        <f>IF(R78="","",IF(R78&gt;=Panduan!$B$4,"Terserap","Perlu Evaluasi"))</f>
        <v/>
      </c>
      <c r="T78" s="30"/>
      <c r="U78" s="30"/>
      <c r="V78" s="28" t="str">
        <f t="shared" si="8"/>
        <v/>
      </c>
      <c r="W78" s="28" t="str">
        <f t="shared" si="9"/>
        <v/>
      </c>
      <c r="X78" s="23" t="str">
        <f>IF(W78="","",IF(W78&gt;=Panduan!$B$4,"Terserap","Perlu Evaluasi"))</f>
        <v/>
      </c>
      <c r="Y78" s="30"/>
      <c r="Z78" s="30"/>
      <c r="AA78" s="28" t="str">
        <f t="shared" si="10"/>
        <v/>
      </c>
      <c r="AB78" s="28" t="str">
        <f t="shared" si="11"/>
        <v/>
      </c>
      <c r="AC78" s="23" t="str">
        <f>IF(AB78="","",IF(AB78&gt;=Panduan!$B$4,"Terserap","Perlu Evaluasi"))</f>
        <v/>
      </c>
      <c r="AD78" s="30"/>
      <c r="AE78" s="30"/>
      <c r="AF78" s="28" t="str">
        <f t="shared" si="12"/>
        <v/>
      </c>
      <c r="AG78" s="28" t="str">
        <f t="shared" si="13"/>
        <v/>
      </c>
      <c r="AH78" s="23" t="str">
        <f>IF(AG78="","",IF(AG78&gt;=Panduan!$B$4,"Terserap","Perlu Evaluasi"))</f>
        <v/>
      </c>
      <c r="AI78" s="29" t="str">
        <f t="shared" ref="AI78:AJ78" si="87">IF(COUNTA(J78,O78,T78,Y78,AD78)=0,"",SUM(J78,O78,T78,Y78,AD78))</f>
        <v/>
      </c>
      <c r="AJ78" s="29" t="str">
        <f t="shared" si="87"/>
        <v/>
      </c>
      <c r="AK78" s="28" t="str">
        <f t="shared" si="15"/>
        <v/>
      </c>
      <c r="AL78" s="28" t="str">
        <f t="shared" si="16"/>
        <v/>
      </c>
      <c r="AM78" s="23" t="str">
        <f>IF(AL78="","",IF(AL78&gt;=Panduan!$B$4,"Terserap","Perlu Evaluasi"))</f>
        <v/>
      </c>
    </row>
    <row r="79" ht="15.75" customHeight="1">
      <c r="A79" s="23" t="str">
        <f t="shared" si="2"/>
        <v/>
      </c>
      <c r="B79" s="33"/>
      <c r="C79" s="23" t="str">
        <f t="shared" si="3"/>
        <v/>
      </c>
      <c r="D79" s="31"/>
      <c r="E79" s="31"/>
      <c r="F79" s="31"/>
      <c r="G79" s="31"/>
      <c r="H79" s="31"/>
      <c r="I79" s="32"/>
      <c r="J79" s="30"/>
      <c r="K79" s="30"/>
      <c r="L79" s="28" t="str">
        <f t="shared" si="4"/>
        <v/>
      </c>
      <c r="M79" s="28" t="str">
        <f t="shared" si="5"/>
        <v/>
      </c>
      <c r="N79" s="23" t="str">
        <f>IF(M79="","",IF(M79&gt;=Panduan!$B$4,"Terserap","Perlu Evaluasi"))</f>
        <v/>
      </c>
      <c r="O79" s="30"/>
      <c r="P79" s="30"/>
      <c r="Q79" s="28" t="str">
        <f t="shared" si="6"/>
        <v/>
      </c>
      <c r="R79" s="28" t="str">
        <f t="shared" si="7"/>
        <v/>
      </c>
      <c r="S79" s="23" t="str">
        <f>IF(R79="","",IF(R79&gt;=Panduan!$B$4,"Terserap","Perlu Evaluasi"))</f>
        <v/>
      </c>
      <c r="T79" s="30"/>
      <c r="U79" s="30"/>
      <c r="V79" s="28" t="str">
        <f t="shared" si="8"/>
        <v/>
      </c>
      <c r="W79" s="28" t="str">
        <f t="shared" si="9"/>
        <v/>
      </c>
      <c r="X79" s="23" t="str">
        <f>IF(W79="","",IF(W79&gt;=Panduan!$B$4,"Terserap","Perlu Evaluasi"))</f>
        <v/>
      </c>
      <c r="Y79" s="30"/>
      <c r="Z79" s="30"/>
      <c r="AA79" s="28" t="str">
        <f t="shared" si="10"/>
        <v/>
      </c>
      <c r="AB79" s="28" t="str">
        <f t="shared" si="11"/>
        <v/>
      </c>
      <c r="AC79" s="23" t="str">
        <f>IF(AB79="","",IF(AB79&gt;=Panduan!$B$4,"Terserap","Perlu Evaluasi"))</f>
        <v/>
      </c>
      <c r="AD79" s="30"/>
      <c r="AE79" s="30"/>
      <c r="AF79" s="28" t="str">
        <f t="shared" si="12"/>
        <v/>
      </c>
      <c r="AG79" s="28" t="str">
        <f t="shared" si="13"/>
        <v/>
      </c>
      <c r="AH79" s="23" t="str">
        <f>IF(AG79="","",IF(AG79&gt;=Panduan!$B$4,"Terserap","Perlu Evaluasi"))</f>
        <v/>
      </c>
      <c r="AI79" s="29" t="str">
        <f t="shared" ref="AI79:AJ79" si="88">IF(COUNTA(J79,O79,T79,Y79,AD79)=0,"",SUM(J79,O79,T79,Y79,AD79))</f>
        <v/>
      </c>
      <c r="AJ79" s="29" t="str">
        <f t="shared" si="88"/>
        <v/>
      </c>
      <c r="AK79" s="28" t="str">
        <f t="shared" si="15"/>
        <v/>
      </c>
      <c r="AL79" s="28" t="str">
        <f t="shared" si="16"/>
        <v/>
      </c>
      <c r="AM79" s="23" t="str">
        <f>IF(AL79="","",IF(AL79&gt;=Panduan!$B$4,"Terserap","Perlu Evaluasi"))</f>
        <v/>
      </c>
    </row>
    <row r="80" ht="15.75" customHeight="1">
      <c r="A80" s="23" t="str">
        <f t="shared" si="2"/>
        <v/>
      </c>
      <c r="B80" s="33"/>
      <c r="C80" s="23" t="str">
        <f t="shared" si="3"/>
        <v/>
      </c>
      <c r="D80" s="31"/>
      <c r="E80" s="31"/>
      <c r="F80" s="31"/>
      <c r="G80" s="31"/>
      <c r="H80" s="31"/>
      <c r="I80" s="32"/>
      <c r="J80" s="30"/>
      <c r="K80" s="30"/>
      <c r="L80" s="28" t="str">
        <f t="shared" si="4"/>
        <v/>
      </c>
      <c r="M80" s="28" t="str">
        <f t="shared" si="5"/>
        <v/>
      </c>
      <c r="N80" s="23" t="str">
        <f>IF(M80="","",IF(M80&gt;=Panduan!$B$4,"Terserap","Perlu Evaluasi"))</f>
        <v/>
      </c>
      <c r="O80" s="30"/>
      <c r="P80" s="30"/>
      <c r="Q80" s="28" t="str">
        <f t="shared" si="6"/>
        <v/>
      </c>
      <c r="R80" s="28" t="str">
        <f t="shared" si="7"/>
        <v/>
      </c>
      <c r="S80" s="23" t="str">
        <f>IF(R80="","",IF(R80&gt;=Panduan!$B$4,"Terserap","Perlu Evaluasi"))</f>
        <v/>
      </c>
      <c r="T80" s="30"/>
      <c r="U80" s="30"/>
      <c r="V80" s="28" t="str">
        <f t="shared" si="8"/>
        <v/>
      </c>
      <c r="W80" s="28" t="str">
        <f t="shared" si="9"/>
        <v/>
      </c>
      <c r="X80" s="23" t="str">
        <f>IF(W80="","",IF(W80&gt;=Panduan!$B$4,"Terserap","Perlu Evaluasi"))</f>
        <v/>
      </c>
      <c r="Y80" s="30"/>
      <c r="Z80" s="30"/>
      <c r="AA80" s="28" t="str">
        <f t="shared" si="10"/>
        <v/>
      </c>
      <c r="AB80" s="28" t="str">
        <f t="shared" si="11"/>
        <v/>
      </c>
      <c r="AC80" s="23" t="str">
        <f>IF(AB80="","",IF(AB80&gt;=Panduan!$B$4,"Terserap","Perlu Evaluasi"))</f>
        <v/>
      </c>
      <c r="AD80" s="30"/>
      <c r="AE80" s="30"/>
      <c r="AF80" s="28" t="str">
        <f t="shared" si="12"/>
        <v/>
      </c>
      <c r="AG80" s="28" t="str">
        <f t="shared" si="13"/>
        <v/>
      </c>
      <c r="AH80" s="23" t="str">
        <f>IF(AG80="","",IF(AG80&gt;=Panduan!$B$4,"Terserap","Perlu Evaluasi"))</f>
        <v/>
      </c>
      <c r="AI80" s="29" t="str">
        <f t="shared" ref="AI80:AJ80" si="89">IF(COUNTA(J80,O80,T80,Y80,AD80)=0,"",SUM(J80,O80,T80,Y80,AD80))</f>
        <v/>
      </c>
      <c r="AJ80" s="29" t="str">
        <f t="shared" si="89"/>
        <v/>
      </c>
      <c r="AK80" s="28" t="str">
        <f t="shared" si="15"/>
        <v/>
      </c>
      <c r="AL80" s="28" t="str">
        <f t="shared" si="16"/>
        <v/>
      </c>
      <c r="AM80" s="23" t="str">
        <f>IF(AL80="","",IF(AL80&gt;=Panduan!$B$4,"Terserap","Perlu Evaluasi"))</f>
        <v/>
      </c>
    </row>
    <row r="81" ht="15.75" customHeight="1">
      <c r="A81" s="23" t="str">
        <f t="shared" si="2"/>
        <v/>
      </c>
      <c r="B81" s="33"/>
      <c r="C81" s="23" t="str">
        <f t="shared" si="3"/>
        <v/>
      </c>
      <c r="D81" s="31"/>
      <c r="E81" s="31"/>
      <c r="F81" s="31"/>
      <c r="G81" s="31"/>
      <c r="H81" s="31"/>
      <c r="I81" s="32"/>
      <c r="J81" s="30"/>
      <c r="K81" s="30"/>
      <c r="L81" s="28" t="str">
        <f t="shared" si="4"/>
        <v/>
      </c>
      <c r="M81" s="28" t="str">
        <f t="shared" si="5"/>
        <v/>
      </c>
      <c r="N81" s="23" t="str">
        <f>IF(M81="","",IF(M81&gt;=Panduan!$B$4,"Terserap","Perlu Evaluasi"))</f>
        <v/>
      </c>
      <c r="O81" s="30"/>
      <c r="P81" s="30"/>
      <c r="Q81" s="28" t="str">
        <f t="shared" si="6"/>
        <v/>
      </c>
      <c r="R81" s="28" t="str">
        <f t="shared" si="7"/>
        <v/>
      </c>
      <c r="S81" s="23" t="str">
        <f>IF(R81="","",IF(R81&gt;=Panduan!$B$4,"Terserap","Perlu Evaluasi"))</f>
        <v/>
      </c>
      <c r="T81" s="30"/>
      <c r="U81" s="30"/>
      <c r="V81" s="28" t="str">
        <f t="shared" si="8"/>
        <v/>
      </c>
      <c r="W81" s="28" t="str">
        <f t="shared" si="9"/>
        <v/>
      </c>
      <c r="X81" s="23" t="str">
        <f>IF(W81="","",IF(W81&gt;=Panduan!$B$4,"Terserap","Perlu Evaluasi"))</f>
        <v/>
      </c>
      <c r="Y81" s="30"/>
      <c r="Z81" s="30"/>
      <c r="AA81" s="28" t="str">
        <f t="shared" si="10"/>
        <v/>
      </c>
      <c r="AB81" s="28" t="str">
        <f t="shared" si="11"/>
        <v/>
      </c>
      <c r="AC81" s="23" t="str">
        <f>IF(AB81="","",IF(AB81&gt;=Panduan!$B$4,"Terserap","Perlu Evaluasi"))</f>
        <v/>
      </c>
      <c r="AD81" s="30"/>
      <c r="AE81" s="30"/>
      <c r="AF81" s="28" t="str">
        <f t="shared" si="12"/>
        <v/>
      </c>
      <c r="AG81" s="28" t="str">
        <f t="shared" si="13"/>
        <v/>
      </c>
      <c r="AH81" s="23" t="str">
        <f>IF(AG81="","",IF(AG81&gt;=Panduan!$B$4,"Terserap","Perlu Evaluasi"))</f>
        <v/>
      </c>
      <c r="AI81" s="29" t="str">
        <f t="shared" ref="AI81:AJ81" si="90">IF(COUNTA(J81,O81,T81,Y81,AD81)=0,"",SUM(J81,O81,T81,Y81,AD81))</f>
        <v/>
      </c>
      <c r="AJ81" s="29" t="str">
        <f t="shared" si="90"/>
        <v/>
      </c>
      <c r="AK81" s="28" t="str">
        <f t="shared" si="15"/>
        <v/>
      </c>
      <c r="AL81" s="28" t="str">
        <f t="shared" si="16"/>
        <v/>
      </c>
      <c r="AM81" s="23" t="str">
        <f>IF(AL81="","",IF(AL81&gt;=Panduan!$B$4,"Terserap","Perlu Evaluasi"))</f>
        <v/>
      </c>
    </row>
    <row r="82" ht="15.75" customHeight="1">
      <c r="A82" s="23" t="str">
        <f t="shared" si="2"/>
        <v/>
      </c>
      <c r="B82" s="33"/>
      <c r="C82" s="23" t="str">
        <f t="shared" si="3"/>
        <v/>
      </c>
      <c r="D82" s="31"/>
      <c r="E82" s="31"/>
      <c r="F82" s="31"/>
      <c r="G82" s="31"/>
      <c r="H82" s="31"/>
      <c r="I82" s="32"/>
      <c r="J82" s="30"/>
      <c r="K82" s="30"/>
      <c r="L82" s="28" t="str">
        <f t="shared" si="4"/>
        <v/>
      </c>
      <c r="M82" s="28" t="str">
        <f t="shared" si="5"/>
        <v/>
      </c>
      <c r="N82" s="23" t="str">
        <f>IF(M82="","",IF(M82&gt;=Panduan!$B$4,"Terserap","Perlu Evaluasi"))</f>
        <v/>
      </c>
      <c r="O82" s="30"/>
      <c r="P82" s="30"/>
      <c r="Q82" s="28" t="str">
        <f t="shared" si="6"/>
        <v/>
      </c>
      <c r="R82" s="28" t="str">
        <f t="shared" si="7"/>
        <v/>
      </c>
      <c r="S82" s="23" t="str">
        <f>IF(R82="","",IF(R82&gt;=Panduan!$B$4,"Terserap","Perlu Evaluasi"))</f>
        <v/>
      </c>
      <c r="T82" s="30"/>
      <c r="U82" s="30"/>
      <c r="V82" s="28" t="str">
        <f t="shared" si="8"/>
        <v/>
      </c>
      <c r="W82" s="28" t="str">
        <f t="shared" si="9"/>
        <v/>
      </c>
      <c r="X82" s="23" t="str">
        <f>IF(W82="","",IF(W82&gt;=Panduan!$B$4,"Terserap","Perlu Evaluasi"))</f>
        <v/>
      </c>
      <c r="Y82" s="30"/>
      <c r="Z82" s="30"/>
      <c r="AA82" s="28" t="str">
        <f t="shared" si="10"/>
        <v/>
      </c>
      <c r="AB82" s="28" t="str">
        <f t="shared" si="11"/>
        <v/>
      </c>
      <c r="AC82" s="23" t="str">
        <f>IF(AB82="","",IF(AB82&gt;=Panduan!$B$4,"Terserap","Perlu Evaluasi"))</f>
        <v/>
      </c>
      <c r="AD82" s="30"/>
      <c r="AE82" s="30"/>
      <c r="AF82" s="28" t="str">
        <f t="shared" si="12"/>
        <v/>
      </c>
      <c r="AG82" s="28" t="str">
        <f t="shared" si="13"/>
        <v/>
      </c>
      <c r="AH82" s="23" t="str">
        <f>IF(AG82="","",IF(AG82&gt;=Panduan!$B$4,"Terserap","Perlu Evaluasi"))</f>
        <v/>
      </c>
      <c r="AI82" s="29" t="str">
        <f t="shared" ref="AI82:AJ82" si="91">IF(COUNTA(J82,O82,T82,Y82,AD82)=0,"",SUM(J82,O82,T82,Y82,AD82))</f>
        <v/>
      </c>
      <c r="AJ82" s="29" t="str">
        <f t="shared" si="91"/>
        <v/>
      </c>
      <c r="AK82" s="28" t="str">
        <f t="shared" si="15"/>
        <v/>
      </c>
      <c r="AL82" s="28" t="str">
        <f t="shared" si="16"/>
        <v/>
      </c>
      <c r="AM82" s="23" t="str">
        <f>IF(AL82="","",IF(AL82&gt;=Panduan!$B$4,"Terserap","Perlu Evaluasi"))</f>
        <v/>
      </c>
    </row>
    <row r="83" ht="15.75" customHeight="1">
      <c r="A83" s="23" t="str">
        <f t="shared" si="2"/>
        <v/>
      </c>
      <c r="B83" s="33"/>
      <c r="C83" s="23" t="str">
        <f t="shared" si="3"/>
        <v/>
      </c>
      <c r="D83" s="31"/>
      <c r="E83" s="31"/>
      <c r="F83" s="31"/>
      <c r="G83" s="31"/>
      <c r="H83" s="31"/>
      <c r="I83" s="32"/>
      <c r="J83" s="30"/>
      <c r="K83" s="30"/>
      <c r="L83" s="28" t="str">
        <f t="shared" si="4"/>
        <v/>
      </c>
      <c r="M83" s="28" t="str">
        <f t="shared" si="5"/>
        <v/>
      </c>
      <c r="N83" s="23" t="str">
        <f>IF(M83="","",IF(M83&gt;=Panduan!$B$4,"Terserap","Perlu Evaluasi"))</f>
        <v/>
      </c>
      <c r="O83" s="30"/>
      <c r="P83" s="30"/>
      <c r="Q83" s="28" t="str">
        <f t="shared" si="6"/>
        <v/>
      </c>
      <c r="R83" s="28" t="str">
        <f t="shared" si="7"/>
        <v/>
      </c>
      <c r="S83" s="23" t="str">
        <f>IF(R83="","",IF(R83&gt;=Panduan!$B$4,"Terserap","Perlu Evaluasi"))</f>
        <v/>
      </c>
      <c r="T83" s="30"/>
      <c r="U83" s="30"/>
      <c r="V83" s="28" t="str">
        <f t="shared" si="8"/>
        <v/>
      </c>
      <c r="W83" s="28" t="str">
        <f t="shared" si="9"/>
        <v/>
      </c>
      <c r="X83" s="23" t="str">
        <f>IF(W83="","",IF(W83&gt;=Panduan!$B$4,"Terserap","Perlu Evaluasi"))</f>
        <v/>
      </c>
      <c r="Y83" s="30"/>
      <c r="Z83" s="30"/>
      <c r="AA83" s="28" t="str">
        <f t="shared" si="10"/>
        <v/>
      </c>
      <c r="AB83" s="28" t="str">
        <f t="shared" si="11"/>
        <v/>
      </c>
      <c r="AC83" s="23" t="str">
        <f>IF(AB83="","",IF(AB83&gt;=Panduan!$B$4,"Terserap","Perlu Evaluasi"))</f>
        <v/>
      </c>
      <c r="AD83" s="30"/>
      <c r="AE83" s="30"/>
      <c r="AF83" s="28" t="str">
        <f t="shared" si="12"/>
        <v/>
      </c>
      <c r="AG83" s="28" t="str">
        <f t="shared" si="13"/>
        <v/>
      </c>
      <c r="AH83" s="23" t="str">
        <f>IF(AG83="","",IF(AG83&gt;=Panduan!$B$4,"Terserap","Perlu Evaluasi"))</f>
        <v/>
      </c>
      <c r="AI83" s="29" t="str">
        <f t="shared" ref="AI83:AJ83" si="92">IF(COUNTA(J83,O83,T83,Y83,AD83)=0,"",SUM(J83,O83,T83,Y83,AD83))</f>
        <v/>
      </c>
      <c r="AJ83" s="29" t="str">
        <f t="shared" si="92"/>
        <v/>
      </c>
      <c r="AK83" s="28" t="str">
        <f t="shared" si="15"/>
        <v/>
      </c>
      <c r="AL83" s="28" t="str">
        <f t="shared" si="16"/>
        <v/>
      </c>
      <c r="AM83" s="23" t="str">
        <f>IF(AL83="","",IF(AL83&gt;=Panduan!$B$4,"Terserap","Perlu Evaluasi"))</f>
        <v/>
      </c>
    </row>
    <row r="84" ht="15.75" customHeight="1">
      <c r="A84" s="23" t="str">
        <f t="shared" si="2"/>
        <v/>
      </c>
      <c r="B84" s="33"/>
      <c r="C84" s="23" t="str">
        <f t="shared" si="3"/>
        <v/>
      </c>
      <c r="D84" s="31"/>
      <c r="E84" s="31"/>
      <c r="F84" s="31"/>
      <c r="G84" s="31"/>
      <c r="H84" s="31"/>
      <c r="I84" s="32"/>
      <c r="J84" s="30"/>
      <c r="K84" s="30"/>
      <c r="L84" s="28" t="str">
        <f t="shared" si="4"/>
        <v/>
      </c>
      <c r="M84" s="28" t="str">
        <f t="shared" si="5"/>
        <v/>
      </c>
      <c r="N84" s="23" t="str">
        <f>IF(M84="","",IF(M84&gt;=Panduan!$B$4,"Terserap","Perlu Evaluasi"))</f>
        <v/>
      </c>
      <c r="O84" s="30"/>
      <c r="P84" s="30"/>
      <c r="Q84" s="28" t="str">
        <f t="shared" si="6"/>
        <v/>
      </c>
      <c r="R84" s="28" t="str">
        <f t="shared" si="7"/>
        <v/>
      </c>
      <c r="S84" s="23" t="str">
        <f>IF(R84="","",IF(R84&gt;=Panduan!$B$4,"Terserap","Perlu Evaluasi"))</f>
        <v/>
      </c>
      <c r="T84" s="30"/>
      <c r="U84" s="30"/>
      <c r="V84" s="28" t="str">
        <f t="shared" si="8"/>
        <v/>
      </c>
      <c r="W84" s="28" t="str">
        <f t="shared" si="9"/>
        <v/>
      </c>
      <c r="X84" s="23" t="str">
        <f>IF(W84="","",IF(W84&gt;=Panduan!$B$4,"Terserap","Perlu Evaluasi"))</f>
        <v/>
      </c>
      <c r="Y84" s="30"/>
      <c r="Z84" s="30"/>
      <c r="AA84" s="28" t="str">
        <f t="shared" si="10"/>
        <v/>
      </c>
      <c r="AB84" s="28" t="str">
        <f t="shared" si="11"/>
        <v/>
      </c>
      <c r="AC84" s="23" t="str">
        <f>IF(AB84="","",IF(AB84&gt;=Panduan!$B$4,"Terserap","Perlu Evaluasi"))</f>
        <v/>
      </c>
      <c r="AD84" s="30"/>
      <c r="AE84" s="30"/>
      <c r="AF84" s="28" t="str">
        <f t="shared" si="12"/>
        <v/>
      </c>
      <c r="AG84" s="28" t="str">
        <f t="shared" si="13"/>
        <v/>
      </c>
      <c r="AH84" s="23" t="str">
        <f>IF(AG84="","",IF(AG84&gt;=Panduan!$B$4,"Terserap","Perlu Evaluasi"))</f>
        <v/>
      </c>
      <c r="AI84" s="29" t="str">
        <f t="shared" ref="AI84:AJ84" si="93">IF(COUNTA(J84,O84,T84,Y84,AD84)=0,"",SUM(J84,O84,T84,Y84,AD84))</f>
        <v/>
      </c>
      <c r="AJ84" s="29" t="str">
        <f t="shared" si="93"/>
        <v/>
      </c>
      <c r="AK84" s="28" t="str">
        <f t="shared" si="15"/>
        <v/>
      </c>
      <c r="AL84" s="28" t="str">
        <f t="shared" si="16"/>
        <v/>
      </c>
      <c r="AM84" s="23" t="str">
        <f>IF(AL84="","",IF(AL84&gt;=Panduan!$B$4,"Terserap","Perlu Evaluasi"))</f>
        <v/>
      </c>
    </row>
    <row r="85" ht="15.75" customHeight="1">
      <c r="A85" s="23" t="str">
        <f t="shared" si="2"/>
        <v/>
      </c>
      <c r="B85" s="33"/>
      <c r="C85" s="23" t="str">
        <f t="shared" si="3"/>
        <v/>
      </c>
      <c r="D85" s="31"/>
      <c r="E85" s="31"/>
      <c r="F85" s="31"/>
      <c r="G85" s="31"/>
      <c r="H85" s="31"/>
      <c r="I85" s="32"/>
      <c r="J85" s="30"/>
      <c r="K85" s="30"/>
      <c r="L85" s="28" t="str">
        <f t="shared" si="4"/>
        <v/>
      </c>
      <c r="M85" s="28" t="str">
        <f t="shared" si="5"/>
        <v/>
      </c>
      <c r="N85" s="23" t="str">
        <f>IF(M85="","",IF(M85&gt;=Panduan!$B$4,"Terserap","Perlu Evaluasi"))</f>
        <v/>
      </c>
      <c r="O85" s="30"/>
      <c r="P85" s="30"/>
      <c r="Q85" s="28" t="str">
        <f t="shared" si="6"/>
        <v/>
      </c>
      <c r="R85" s="28" t="str">
        <f t="shared" si="7"/>
        <v/>
      </c>
      <c r="S85" s="23" t="str">
        <f>IF(R85="","",IF(R85&gt;=Panduan!$B$4,"Terserap","Perlu Evaluasi"))</f>
        <v/>
      </c>
      <c r="T85" s="30"/>
      <c r="U85" s="30"/>
      <c r="V85" s="28" t="str">
        <f t="shared" si="8"/>
        <v/>
      </c>
      <c r="W85" s="28" t="str">
        <f t="shared" si="9"/>
        <v/>
      </c>
      <c r="X85" s="23" t="str">
        <f>IF(W85="","",IF(W85&gt;=Panduan!$B$4,"Terserap","Perlu Evaluasi"))</f>
        <v/>
      </c>
      <c r="Y85" s="30"/>
      <c r="Z85" s="30"/>
      <c r="AA85" s="28" t="str">
        <f t="shared" si="10"/>
        <v/>
      </c>
      <c r="AB85" s="28" t="str">
        <f t="shared" si="11"/>
        <v/>
      </c>
      <c r="AC85" s="23" t="str">
        <f>IF(AB85="","",IF(AB85&gt;=Panduan!$B$4,"Terserap","Perlu Evaluasi"))</f>
        <v/>
      </c>
      <c r="AD85" s="30"/>
      <c r="AE85" s="30"/>
      <c r="AF85" s="28" t="str">
        <f t="shared" si="12"/>
        <v/>
      </c>
      <c r="AG85" s="28" t="str">
        <f t="shared" si="13"/>
        <v/>
      </c>
      <c r="AH85" s="23" t="str">
        <f>IF(AG85="","",IF(AG85&gt;=Panduan!$B$4,"Terserap","Perlu Evaluasi"))</f>
        <v/>
      </c>
      <c r="AI85" s="29" t="str">
        <f t="shared" ref="AI85:AJ85" si="94">IF(COUNTA(J85,O85,T85,Y85,AD85)=0,"",SUM(J85,O85,T85,Y85,AD85))</f>
        <v/>
      </c>
      <c r="AJ85" s="29" t="str">
        <f t="shared" si="94"/>
        <v/>
      </c>
      <c r="AK85" s="28" t="str">
        <f t="shared" si="15"/>
        <v/>
      </c>
      <c r="AL85" s="28" t="str">
        <f t="shared" si="16"/>
        <v/>
      </c>
      <c r="AM85" s="23" t="str">
        <f>IF(AL85="","",IF(AL85&gt;=Panduan!$B$4,"Terserap","Perlu Evaluasi"))</f>
        <v/>
      </c>
    </row>
    <row r="86" ht="15.75" customHeight="1">
      <c r="A86" s="23" t="str">
        <f t="shared" si="2"/>
        <v/>
      </c>
      <c r="B86" s="33"/>
      <c r="C86" s="23" t="str">
        <f t="shared" si="3"/>
        <v/>
      </c>
      <c r="D86" s="31"/>
      <c r="E86" s="31"/>
      <c r="F86" s="31"/>
      <c r="G86" s="31"/>
      <c r="H86" s="31"/>
      <c r="I86" s="32"/>
      <c r="J86" s="30"/>
      <c r="K86" s="30"/>
      <c r="L86" s="28" t="str">
        <f t="shared" si="4"/>
        <v/>
      </c>
      <c r="M86" s="28" t="str">
        <f t="shared" si="5"/>
        <v/>
      </c>
      <c r="N86" s="23" t="str">
        <f>IF(M86="","",IF(M86&gt;=Panduan!$B$4,"Terserap","Perlu Evaluasi"))</f>
        <v/>
      </c>
      <c r="O86" s="30"/>
      <c r="P86" s="30"/>
      <c r="Q86" s="28" t="str">
        <f t="shared" si="6"/>
        <v/>
      </c>
      <c r="R86" s="28" t="str">
        <f t="shared" si="7"/>
        <v/>
      </c>
      <c r="S86" s="23" t="str">
        <f>IF(R86="","",IF(R86&gt;=Panduan!$B$4,"Terserap","Perlu Evaluasi"))</f>
        <v/>
      </c>
      <c r="T86" s="30"/>
      <c r="U86" s="30"/>
      <c r="V86" s="28" t="str">
        <f t="shared" si="8"/>
        <v/>
      </c>
      <c r="W86" s="28" t="str">
        <f t="shared" si="9"/>
        <v/>
      </c>
      <c r="X86" s="23" t="str">
        <f>IF(W86="","",IF(W86&gt;=Panduan!$B$4,"Terserap","Perlu Evaluasi"))</f>
        <v/>
      </c>
      <c r="Y86" s="30"/>
      <c r="Z86" s="30"/>
      <c r="AA86" s="28" t="str">
        <f t="shared" si="10"/>
        <v/>
      </c>
      <c r="AB86" s="28" t="str">
        <f t="shared" si="11"/>
        <v/>
      </c>
      <c r="AC86" s="23" t="str">
        <f>IF(AB86="","",IF(AB86&gt;=Panduan!$B$4,"Terserap","Perlu Evaluasi"))</f>
        <v/>
      </c>
      <c r="AD86" s="30"/>
      <c r="AE86" s="30"/>
      <c r="AF86" s="28" t="str">
        <f t="shared" si="12"/>
        <v/>
      </c>
      <c r="AG86" s="28" t="str">
        <f t="shared" si="13"/>
        <v/>
      </c>
      <c r="AH86" s="23" t="str">
        <f>IF(AG86="","",IF(AG86&gt;=Panduan!$B$4,"Terserap","Perlu Evaluasi"))</f>
        <v/>
      </c>
      <c r="AI86" s="29" t="str">
        <f t="shared" ref="AI86:AJ86" si="95">IF(COUNTA(J86,O86,T86,Y86,AD86)=0,"",SUM(J86,O86,T86,Y86,AD86))</f>
        <v/>
      </c>
      <c r="AJ86" s="29" t="str">
        <f t="shared" si="95"/>
        <v/>
      </c>
      <c r="AK86" s="28" t="str">
        <f t="shared" si="15"/>
        <v/>
      </c>
      <c r="AL86" s="28" t="str">
        <f t="shared" si="16"/>
        <v/>
      </c>
      <c r="AM86" s="23" t="str">
        <f>IF(AL86="","",IF(AL86&gt;=Panduan!$B$4,"Terserap","Perlu Evaluasi"))</f>
        <v/>
      </c>
    </row>
    <row r="87" ht="15.75" customHeight="1">
      <c r="A87" s="23" t="str">
        <f t="shared" si="2"/>
        <v/>
      </c>
      <c r="B87" s="33"/>
      <c r="C87" s="23" t="str">
        <f t="shared" si="3"/>
        <v/>
      </c>
      <c r="D87" s="31"/>
      <c r="E87" s="31"/>
      <c r="F87" s="31"/>
      <c r="G87" s="31"/>
      <c r="H87" s="31"/>
      <c r="I87" s="32"/>
      <c r="J87" s="30"/>
      <c r="K87" s="30"/>
      <c r="L87" s="28" t="str">
        <f t="shared" si="4"/>
        <v/>
      </c>
      <c r="M87" s="28" t="str">
        <f t="shared" si="5"/>
        <v/>
      </c>
      <c r="N87" s="23" t="str">
        <f>IF(M87="","",IF(M87&gt;=Panduan!$B$4,"Terserap","Perlu Evaluasi"))</f>
        <v/>
      </c>
      <c r="O87" s="30"/>
      <c r="P87" s="30"/>
      <c r="Q87" s="28" t="str">
        <f t="shared" si="6"/>
        <v/>
      </c>
      <c r="R87" s="28" t="str">
        <f t="shared" si="7"/>
        <v/>
      </c>
      <c r="S87" s="23" t="str">
        <f>IF(R87="","",IF(R87&gt;=Panduan!$B$4,"Terserap","Perlu Evaluasi"))</f>
        <v/>
      </c>
      <c r="T87" s="30"/>
      <c r="U87" s="30"/>
      <c r="V87" s="28" t="str">
        <f t="shared" si="8"/>
        <v/>
      </c>
      <c r="W87" s="28" t="str">
        <f t="shared" si="9"/>
        <v/>
      </c>
      <c r="X87" s="23" t="str">
        <f>IF(W87="","",IF(W87&gt;=Panduan!$B$4,"Terserap","Perlu Evaluasi"))</f>
        <v/>
      </c>
      <c r="Y87" s="30"/>
      <c r="Z87" s="30"/>
      <c r="AA87" s="28" t="str">
        <f t="shared" si="10"/>
        <v/>
      </c>
      <c r="AB87" s="28" t="str">
        <f t="shared" si="11"/>
        <v/>
      </c>
      <c r="AC87" s="23" t="str">
        <f>IF(AB87="","",IF(AB87&gt;=Panduan!$B$4,"Terserap","Perlu Evaluasi"))</f>
        <v/>
      </c>
      <c r="AD87" s="30"/>
      <c r="AE87" s="30"/>
      <c r="AF87" s="28" t="str">
        <f t="shared" si="12"/>
        <v/>
      </c>
      <c r="AG87" s="28" t="str">
        <f t="shared" si="13"/>
        <v/>
      </c>
      <c r="AH87" s="23" t="str">
        <f>IF(AG87="","",IF(AG87&gt;=Panduan!$B$4,"Terserap","Perlu Evaluasi"))</f>
        <v/>
      </c>
      <c r="AI87" s="29" t="str">
        <f t="shared" ref="AI87:AJ87" si="96">IF(COUNTA(J87,O87,T87,Y87,AD87)=0,"",SUM(J87,O87,T87,Y87,AD87))</f>
        <v/>
      </c>
      <c r="AJ87" s="29" t="str">
        <f t="shared" si="96"/>
        <v/>
      </c>
      <c r="AK87" s="28" t="str">
        <f t="shared" si="15"/>
        <v/>
      </c>
      <c r="AL87" s="28" t="str">
        <f t="shared" si="16"/>
        <v/>
      </c>
      <c r="AM87" s="23" t="str">
        <f>IF(AL87="","",IF(AL87&gt;=Panduan!$B$4,"Terserap","Perlu Evaluasi"))</f>
        <v/>
      </c>
    </row>
    <row r="88" ht="15.75" customHeight="1">
      <c r="A88" s="23" t="str">
        <f t="shared" si="2"/>
        <v/>
      </c>
      <c r="B88" s="33"/>
      <c r="C88" s="23" t="str">
        <f t="shared" si="3"/>
        <v/>
      </c>
      <c r="D88" s="31"/>
      <c r="E88" s="31"/>
      <c r="F88" s="31"/>
      <c r="G88" s="31"/>
      <c r="H88" s="31"/>
      <c r="I88" s="32"/>
      <c r="J88" s="30"/>
      <c r="K88" s="30"/>
      <c r="L88" s="28" t="str">
        <f t="shared" si="4"/>
        <v/>
      </c>
      <c r="M88" s="28" t="str">
        <f t="shared" si="5"/>
        <v/>
      </c>
      <c r="N88" s="23" t="str">
        <f>IF(M88="","",IF(M88&gt;=Panduan!$B$4,"Terserap","Perlu Evaluasi"))</f>
        <v/>
      </c>
      <c r="O88" s="30"/>
      <c r="P88" s="30"/>
      <c r="Q88" s="28" t="str">
        <f t="shared" si="6"/>
        <v/>
      </c>
      <c r="R88" s="28" t="str">
        <f t="shared" si="7"/>
        <v/>
      </c>
      <c r="S88" s="23" t="str">
        <f>IF(R88="","",IF(R88&gt;=Panduan!$B$4,"Terserap","Perlu Evaluasi"))</f>
        <v/>
      </c>
      <c r="T88" s="30"/>
      <c r="U88" s="30"/>
      <c r="V88" s="28" t="str">
        <f t="shared" si="8"/>
        <v/>
      </c>
      <c r="W88" s="28" t="str">
        <f t="shared" si="9"/>
        <v/>
      </c>
      <c r="X88" s="23" t="str">
        <f>IF(W88="","",IF(W88&gt;=Panduan!$B$4,"Terserap","Perlu Evaluasi"))</f>
        <v/>
      </c>
      <c r="Y88" s="30"/>
      <c r="Z88" s="30"/>
      <c r="AA88" s="28" t="str">
        <f t="shared" si="10"/>
        <v/>
      </c>
      <c r="AB88" s="28" t="str">
        <f t="shared" si="11"/>
        <v/>
      </c>
      <c r="AC88" s="23" t="str">
        <f>IF(AB88="","",IF(AB88&gt;=Panduan!$B$4,"Terserap","Perlu Evaluasi"))</f>
        <v/>
      </c>
      <c r="AD88" s="30"/>
      <c r="AE88" s="30"/>
      <c r="AF88" s="28" t="str">
        <f t="shared" si="12"/>
        <v/>
      </c>
      <c r="AG88" s="28" t="str">
        <f t="shared" si="13"/>
        <v/>
      </c>
      <c r="AH88" s="23" t="str">
        <f>IF(AG88="","",IF(AG88&gt;=Panduan!$B$4,"Terserap","Perlu Evaluasi"))</f>
        <v/>
      </c>
      <c r="AI88" s="29" t="str">
        <f t="shared" ref="AI88:AJ88" si="97">IF(COUNTA(J88,O88,T88,Y88,AD88)=0,"",SUM(J88,O88,T88,Y88,AD88))</f>
        <v/>
      </c>
      <c r="AJ88" s="29" t="str">
        <f t="shared" si="97"/>
        <v/>
      </c>
      <c r="AK88" s="28" t="str">
        <f t="shared" si="15"/>
        <v/>
      </c>
      <c r="AL88" s="28" t="str">
        <f t="shared" si="16"/>
        <v/>
      </c>
      <c r="AM88" s="23" t="str">
        <f>IF(AL88="","",IF(AL88&gt;=Panduan!$B$4,"Terserap","Perlu Evaluasi"))</f>
        <v/>
      </c>
    </row>
    <row r="89" ht="15.75" customHeight="1">
      <c r="A89" s="23" t="str">
        <f t="shared" si="2"/>
        <v/>
      </c>
      <c r="B89" s="33"/>
      <c r="C89" s="23" t="str">
        <f t="shared" si="3"/>
        <v/>
      </c>
      <c r="D89" s="31"/>
      <c r="E89" s="31"/>
      <c r="F89" s="31"/>
      <c r="G89" s="31"/>
      <c r="H89" s="31"/>
      <c r="I89" s="32"/>
      <c r="J89" s="30"/>
      <c r="K89" s="30"/>
      <c r="L89" s="28" t="str">
        <f t="shared" si="4"/>
        <v/>
      </c>
      <c r="M89" s="28" t="str">
        <f t="shared" si="5"/>
        <v/>
      </c>
      <c r="N89" s="23" t="str">
        <f>IF(M89="","",IF(M89&gt;=Panduan!$B$4,"Terserap","Perlu Evaluasi"))</f>
        <v/>
      </c>
      <c r="O89" s="30"/>
      <c r="P89" s="30"/>
      <c r="Q89" s="28" t="str">
        <f t="shared" si="6"/>
        <v/>
      </c>
      <c r="R89" s="28" t="str">
        <f t="shared" si="7"/>
        <v/>
      </c>
      <c r="S89" s="23" t="str">
        <f>IF(R89="","",IF(R89&gt;=Panduan!$B$4,"Terserap","Perlu Evaluasi"))</f>
        <v/>
      </c>
      <c r="T89" s="30"/>
      <c r="U89" s="30"/>
      <c r="V89" s="28" t="str">
        <f t="shared" si="8"/>
        <v/>
      </c>
      <c r="W89" s="28" t="str">
        <f t="shared" si="9"/>
        <v/>
      </c>
      <c r="X89" s="23" t="str">
        <f>IF(W89="","",IF(W89&gt;=Panduan!$B$4,"Terserap","Perlu Evaluasi"))</f>
        <v/>
      </c>
      <c r="Y89" s="30"/>
      <c r="Z89" s="30"/>
      <c r="AA89" s="28" t="str">
        <f t="shared" si="10"/>
        <v/>
      </c>
      <c r="AB89" s="28" t="str">
        <f t="shared" si="11"/>
        <v/>
      </c>
      <c r="AC89" s="23" t="str">
        <f>IF(AB89="","",IF(AB89&gt;=Panduan!$B$4,"Terserap","Perlu Evaluasi"))</f>
        <v/>
      </c>
      <c r="AD89" s="30"/>
      <c r="AE89" s="30"/>
      <c r="AF89" s="28" t="str">
        <f t="shared" si="12"/>
        <v/>
      </c>
      <c r="AG89" s="28" t="str">
        <f t="shared" si="13"/>
        <v/>
      </c>
      <c r="AH89" s="23" t="str">
        <f>IF(AG89="","",IF(AG89&gt;=Panduan!$B$4,"Terserap","Perlu Evaluasi"))</f>
        <v/>
      </c>
      <c r="AI89" s="29" t="str">
        <f t="shared" ref="AI89:AJ89" si="98">IF(COUNTA(J89,O89,T89,Y89,AD89)=0,"",SUM(J89,O89,T89,Y89,AD89))</f>
        <v/>
      </c>
      <c r="AJ89" s="29" t="str">
        <f t="shared" si="98"/>
        <v/>
      </c>
      <c r="AK89" s="28" t="str">
        <f t="shared" si="15"/>
        <v/>
      </c>
      <c r="AL89" s="28" t="str">
        <f t="shared" si="16"/>
        <v/>
      </c>
      <c r="AM89" s="23" t="str">
        <f>IF(AL89="","",IF(AL89&gt;=Panduan!$B$4,"Terserap","Perlu Evaluasi"))</f>
        <v/>
      </c>
    </row>
    <row r="90" ht="15.75" customHeight="1">
      <c r="A90" s="23" t="str">
        <f t="shared" si="2"/>
        <v/>
      </c>
      <c r="B90" s="33"/>
      <c r="C90" s="23" t="str">
        <f t="shared" si="3"/>
        <v/>
      </c>
      <c r="D90" s="31"/>
      <c r="E90" s="31"/>
      <c r="F90" s="31"/>
      <c r="G90" s="31"/>
      <c r="H90" s="31"/>
      <c r="I90" s="32"/>
      <c r="J90" s="30"/>
      <c r="K90" s="30"/>
      <c r="L90" s="28" t="str">
        <f t="shared" si="4"/>
        <v/>
      </c>
      <c r="M90" s="28" t="str">
        <f t="shared" si="5"/>
        <v/>
      </c>
      <c r="N90" s="23" t="str">
        <f>IF(M90="","",IF(M90&gt;=Panduan!$B$4,"Terserap","Perlu Evaluasi"))</f>
        <v/>
      </c>
      <c r="O90" s="30"/>
      <c r="P90" s="30"/>
      <c r="Q90" s="28" t="str">
        <f t="shared" si="6"/>
        <v/>
      </c>
      <c r="R90" s="28" t="str">
        <f t="shared" si="7"/>
        <v/>
      </c>
      <c r="S90" s="23" t="str">
        <f>IF(R90="","",IF(R90&gt;=Panduan!$B$4,"Terserap","Perlu Evaluasi"))</f>
        <v/>
      </c>
      <c r="T90" s="30"/>
      <c r="U90" s="30"/>
      <c r="V90" s="28" t="str">
        <f t="shared" si="8"/>
        <v/>
      </c>
      <c r="W90" s="28" t="str">
        <f t="shared" si="9"/>
        <v/>
      </c>
      <c r="X90" s="23" t="str">
        <f>IF(W90="","",IF(W90&gt;=Panduan!$B$4,"Terserap","Perlu Evaluasi"))</f>
        <v/>
      </c>
      <c r="Y90" s="30"/>
      <c r="Z90" s="30"/>
      <c r="AA90" s="28" t="str">
        <f t="shared" si="10"/>
        <v/>
      </c>
      <c r="AB90" s="28" t="str">
        <f t="shared" si="11"/>
        <v/>
      </c>
      <c r="AC90" s="23" t="str">
        <f>IF(AB90="","",IF(AB90&gt;=Panduan!$B$4,"Terserap","Perlu Evaluasi"))</f>
        <v/>
      </c>
      <c r="AD90" s="30"/>
      <c r="AE90" s="30"/>
      <c r="AF90" s="28" t="str">
        <f t="shared" si="12"/>
        <v/>
      </c>
      <c r="AG90" s="28" t="str">
        <f t="shared" si="13"/>
        <v/>
      </c>
      <c r="AH90" s="23" t="str">
        <f>IF(AG90="","",IF(AG90&gt;=Panduan!$B$4,"Terserap","Perlu Evaluasi"))</f>
        <v/>
      </c>
      <c r="AI90" s="29" t="str">
        <f t="shared" ref="AI90:AJ90" si="99">IF(COUNTA(J90,O90,T90,Y90,AD90)=0,"",SUM(J90,O90,T90,Y90,AD90))</f>
        <v/>
      </c>
      <c r="AJ90" s="29" t="str">
        <f t="shared" si="99"/>
        <v/>
      </c>
      <c r="AK90" s="28" t="str">
        <f t="shared" si="15"/>
        <v/>
      </c>
      <c r="AL90" s="28" t="str">
        <f t="shared" si="16"/>
        <v/>
      </c>
      <c r="AM90" s="23" t="str">
        <f>IF(AL90="","",IF(AL90&gt;=Panduan!$B$4,"Terserap","Perlu Evaluasi"))</f>
        <v/>
      </c>
    </row>
    <row r="91" ht="15.75" customHeight="1">
      <c r="A91" s="23" t="str">
        <f t="shared" si="2"/>
        <v/>
      </c>
      <c r="B91" s="33"/>
      <c r="C91" s="23" t="str">
        <f t="shared" si="3"/>
        <v/>
      </c>
      <c r="D91" s="31"/>
      <c r="E91" s="31"/>
      <c r="F91" s="31"/>
      <c r="G91" s="31"/>
      <c r="H91" s="31"/>
      <c r="I91" s="32"/>
      <c r="J91" s="30"/>
      <c r="K91" s="30"/>
      <c r="L91" s="28" t="str">
        <f t="shared" si="4"/>
        <v/>
      </c>
      <c r="M91" s="28" t="str">
        <f t="shared" si="5"/>
        <v/>
      </c>
      <c r="N91" s="23" t="str">
        <f>IF(M91="","",IF(M91&gt;=Panduan!$B$4,"Terserap","Perlu Evaluasi"))</f>
        <v/>
      </c>
      <c r="O91" s="30"/>
      <c r="P91" s="30"/>
      <c r="Q91" s="28" t="str">
        <f t="shared" si="6"/>
        <v/>
      </c>
      <c r="R91" s="28" t="str">
        <f t="shared" si="7"/>
        <v/>
      </c>
      <c r="S91" s="23" t="str">
        <f>IF(R91="","",IF(R91&gt;=Panduan!$B$4,"Terserap","Perlu Evaluasi"))</f>
        <v/>
      </c>
      <c r="T91" s="30"/>
      <c r="U91" s="30"/>
      <c r="V91" s="28" t="str">
        <f t="shared" si="8"/>
        <v/>
      </c>
      <c r="W91" s="28" t="str">
        <f t="shared" si="9"/>
        <v/>
      </c>
      <c r="X91" s="23" t="str">
        <f>IF(W91="","",IF(W91&gt;=Panduan!$B$4,"Terserap","Perlu Evaluasi"))</f>
        <v/>
      </c>
      <c r="Y91" s="30"/>
      <c r="Z91" s="30"/>
      <c r="AA91" s="28" t="str">
        <f t="shared" si="10"/>
        <v/>
      </c>
      <c r="AB91" s="28" t="str">
        <f t="shared" si="11"/>
        <v/>
      </c>
      <c r="AC91" s="23" t="str">
        <f>IF(AB91="","",IF(AB91&gt;=Panduan!$B$4,"Terserap","Perlu Evaluasi"))</f>
        <v/>
      </c>
      <c r="AD91" s="30"/>
      <c r="AE91" s="30"/>
      <c r="AF91" s="28" t="str">
        <f t="shared" si="12"/>
        <v/>
      </c>
      <c r="AG91" s="28" t="str">
        <f t="shared" si="13"/>
        <v/>
      </c>
      <c r="AH91" s="23" t="str">
        <f>IF(AG91="","",IF(AG91&gt;=Panduan!$B$4,"Terserap","Perlu Evaluasi"))</f>
        <v/>
      </c>
      <c r="AI91" s="29" t="str">
        <f t="shared" ref="AI91:AJ91" si="100">IF(COUNTA(J91,O91,T91,Y91,AD91)=0,"",SUM(J91,O91,T91,Y91,AD91))</f>
        <v/>
      </c>
      <c r="AJ91" s="29" t="str">
        <f t="shared" si="100"/>
        <v/>
      </c>
      <c r="AK91" s="28" t="str">
        <f t="shared" si="15"/>
        <v/>
      </c>
      <c r="AL91" s="28" t="str">
        <f t="shared" si="16"/>
        <v/>
      </c>
      <c r="AM91" s="23" t="str">
        <f>IF(AL91="","",IF(AL91&gt;=Panduan!$B$4,"Terserap","Perlu Evaluasi"))</f>
        <v/>
      </c>
    </row>
    <row r="92" ht="15.75" customHeight="1">
      <c r="A92" s="23" t="str">
        <f t="shared" si="2"/>
        <v/>
      </c>
      <c r="B92" s="33"/>
      <c r="C92" s="23" t="str">
        <f t="shared" si="3"/>
        <v/>
      </c>
      <c r="D92" s="31"/>
      <c r="E92" s="31"/>
      <c r="F92" s="31"/>
      <c r="G92" s="31"/>
      <c r="H92" s="31"/>
      <c r="I92" s="32"/>
      <c r="J92" s="30"/>
      <c r="K92" s="30"/>
      <c r="L92" s="28" t="str">
        <f t="shared" si="4"/>
        <v/>
      </c>
      <c r="M92" s="28" t="str">
        <f t="shared" si="5"/>
        <v/>
      </c>
      <c r="N92" s="23" t="str">
        <f>IF(M92="","",IF(M92&gt;=Panduan!$B$4,"Terserap","Perlu Evaluasi"))</f>
        <v/>
      </c>
      <c r="O92" s="30"/>
      <c r="P92" s="30"/>
      <c r="Q92" s="28" t="str">
        <f t="shared" si="6"/>
        <v/>
      </c>
      <c r="R92" s="28" t="str">
        <f t="shared" si="7"/>
        <v/>
      </c>
      <c r="S92" s="23" t="str">
        <f>IF(R92="","",IF(R92&gt;=Panduan!$B$4,"Terserap","Perlu Evaluasi"))</f>
        <v/>
      </c>
      <c r="T92" s="30"/>
      <c r="U92" s="30"/>
      <c r="V92" s="28" t="str">
        <f t="shared" si="8"/>
        <v/>
      </c>
      <c r="W92" s="28" t="str">
        <f t="shared" si="9"/>
        <v/>
      </c>
      <c r="X92" s="23" t="str">
        <f>IF(W92="","",IF(W92&gt;=Panduan!$B$4,"Terserap","Perlu Evaluasi"))</f>
        <v/>
      </c>
      <c r="Y92" s="30"/>
      <c r="Z92" s="30"/>
      <c r="AA92" s="28" t="str">
        <f t="shared" si="10"/>
        <v/>
      </c>
      <c r="AB92" s="28" t="str">
        <f t="shared" si="11"/>
        <v/>
      </c>
      <c r="AC92" s="23" t="str">
        <f>IF(AB92="","",IF(AB92&gt;=Panduan!$B$4,"Terserap","Perlu Evaluasi"))</f>
        <v/>
      </c>
      <c r="AD92" s="30"/>
      <c r="AE92" s="30"/>
      <c r="AF92" s="28" t="str">
        <f t="shared" si="12"/>
        <v/>
      </c>
      <c r="AG92" s="28" t="str">
        <f t="shared" si="13"/>
        <v/>
      </c>
      <c r="AH92" s="23" t="str">
        <f>IF(AG92="","",IF(AG92&gt;=Panduan!$B$4,"Terserap","Perlu Evaluasi"))</f>
        <v/>
      </c>
      <c r="AI92" s="29" t="str">
        <f t="shared" ref="AI92:AJ92" si="101">IF(COUNTA(J92,O92,T92,Y92,AD92)=0,"",SUM(J92,O92,T92,Y92,AD92))</f>
        <v/>
      </c>
      <c r="AJ92" s="29" t="str">
        <f t="shared" si="101"/>
        <v/>
      </c>
      <c r="AK92" s="28" t="str">
        <f t="shared" si="15"/>
        <v/>
      </c>
      <c r="AL92" s="28" t="str">
        <f t="shared" si="16"/>
        <v/>
      </c>
      <c r="AM92" s="23" t="str">
        <f>IF(AL92="","",IF(AL92&gt;=Panduan!$B$4,"Terserap","Perlu Evaluasi"))</f>
        <v/>
      </c>
    </row>
    <row r="93" ht="15.75" customHeight="1">
      <c r="A93" s="23" t="str">
        <f t="shared" si="2"/>
        <v/>
      </c>
      <c r="B93" s="33"/>
      <c r="C93" s="23" t="str">
        <f t="shared" si="3"/>
        <v/>
      </c>
      <c r="D93" s="31"/>
      <c r="E93" s="31"/>
      <c r="F93" s="31"/>
      <c r="G93" s="31"/>
      <c r="H93" s="31"/>
      <c r="I93" s="32"/>
      <c r="J93" s="30"/>
      <c r="K93" s="30"/>
      <c r="L93" s="28" t="str">
        <f t="shared" si="4"/>
        <v/>
      </c>
      <c r="M93" s="28" t="str">
        <f t="shared" si="5"/>
        <v/>
      </c>
      <c r="N93" s="23" t="str">
        <f>IF(M93="","",IF(M93&gt;=Panduan!$B$4,"Terserap","Perlu Evaluasi"))</f>
        <v/>
      </c>
      <c r="O93" s="30"/>
      <c r="P93" s="30"/>
      <c r="Q93" s="28" t="str">
        <f t="shared" si="6"/>
        <v/>
      </c>
      <c r="R93" s="28" t="str">
        <f t="shared" si="7"/>
        <v/>
      </c>
      <c r="S93" s="23" t="str">
        <f>IF(R93="","",IF(R93&gt;=Panduan!$B$4,"Terserap","Perlu Evaluasi"))</f>
        <v/>
      </c>
      <c r="T93" s="30"/>
      <c r="U93" s="30"/>
      <c r="V93" s="28" t="str">
        <f t="shared" si="8"/>
        <v/>
      </c>
      <c r="W93" s="28" t="str">
        <f t="shared" si="9"/>
        <v/>
      </c>
      <c r="X93" s="23" t="str">
        <f>IF(W93="","",IF(W93&gt;=Panduan!$B$4,"Terserap","Perlu Evaluasi"))</f>
        <v/>
      </c>
      <c r="Y93" s="30"/>
      <c r="Z93" s="30"/>
      <c r="AA93" s="28" t="str">
        <f t="shared" si="10"/>
        <v/>
      </c>
      <c r="AB93" s="28" t="str">
        <f t="shared" si="11"/>
        <v/>
      </c>
      <c r="AC93" s="23" t="str">
        <f>IF(AB93="","",IF(AB93&gt;=Panduan!$B$4,"Terserap","Perlu Evaluasi"))</f>
        <v/>
      </c>
      <c r="AD93" s="30"/>
      <c r="AE93" s="30"/>
      <c r="AF93" s="28" t="str">
        <f t="shared" si="12"/>
        <v/>
      </c>
      <c r="AG93" s="28" t="str">
        <f t="shared" si="13"/>
        <v/>
      </c>
      <c r="AH93" s="23" t="str">
        <f>IF(AG93="","",IF(AG93&gt;=Panduan!$B$4,"Terserap","Perlu Evaluasi"))</f>
        <v/>
      </c>
      <c r="AI93" s="29" t="str">
        <f t="shared" ref="AI93:AJ93" si="102">IF(COUNTA(J93,O93,T93,Y93,AD93)=0,"",SUM(J93,O93,T93,Y93,AD93))</f>
        <v/>
      </c>
      <c r="AJ93" s="29" t="str">
        <f t="shared" si="102"/>
        <v/>
      </c>
      <c r="AK93" s="28" t="str">
        <f t="shared" si="15"/>
        <v/>
      </c>
      <c r="AL93" s="28" t="str">
        <f t="shared" si="16"/>
        <v/>
      </c>
      <c r="AM93" s="23" t="str">
        <f>IF(AL93="","",IF(AL93&gt;=Panduan!$B$4,"Terserap","Perlu Evaluasi"))</f>
        <v/>
      </c>
    </row>
    <row r="94" ht="15.75" customHeight="1">
      <c r="A94" s="23" t="str">
        <f t="shared" si="2"/>
        <v/>
      </c>
      <c r="B94" s="33"/>
      <c r="C94" s="23" t="str">
        <f t="shared" si="3"/>
        <v/>
      </c>
      <c r="D94" s="31"/>
      <c r="E94" s="31"/>
      <c r="F94" s="31"/>
      <c r="G94" s="31"/>
      <c r="H94" s="31"/>
      <c r="I94" s="32"/>
      <c r="J94" s="30"/>
      <c r="K94" s="30"/>
      <c r="L94" s="28" t="str">
        <f t="shared" si="4"/>
        <v/>
      </c>
      <c r="M94" s="28" t="str">
        <f t="shared" si="5"/>
        <v/>
      </c>
      <c r="N94" s="23" t="str">
        <f>IF(M94="","",IF(M94&gt;=Panduan!$B$4,"Terserap","Perlu Evaluasi"))</f>
        <v/>
      </c>
      <c r="O94" s="30"/>
      <c r="P94" s="30"/>
      <c r="Q94" s="28" t="str">
        <f t="shared" si="6"/>
        <v/>
      </c>
      <c r="R94" s="28" t="str">
        <f t="shared" si="7"/>
        <v/>
      </c>
      <c r="S94" s="23" t="str">
        <f>IF(R94="","",IF(R94&gt;=Panduan!$B$4,"Terserap","Perlu Evaluasi"))</f>
        <v/>
      </c>
      <c r="T94" s="30"/>
      <c r="U94" s="30"/>
      <c r="V94" s="28" t="str">
        <f t="shared" si="8"/>
        <v/>
      </c>
      <c r="W94" s="28" t="str">
        <f t="shared" si="9"/>
        <v/>
      </c>
      <c r="X94" s="23" t="str">
        <f>IF(W94="","",IF(W94&gt;=Panduan!$B$4,"Terserap","Perlu Evaluasi"))</f>
        <v/>
      </c>
      <c r="Y94" s="30"/>
      <c r="Z94" s="30"/>
      <c r="AA94" s="28" t="str">
        <f t="shared" si="10"/>
        <v/>
      </c>
      <c r="AB94" s="28" t="str">
        <f t="shared" si="11"/>
        <v/>
      </c>
      <c r="AC94" s="23" t="str">
        <f>IF(AB94="","",IF(AB94&gt;=Panduan!$B$4,"Terserap","Perlu Evaluasi"))</f>
        <v/>
      </c>
      <c r="AD94" s="30"/>
      <c r="AE94" s="30"/>
      <c r="AF94" s="28" t="str">
        <f t="shared" si="12"/>
        <v/>
      </c>
      <c r="AG94" s="28" t="str">
        <f t="shared" si="13"/>
        <v/>
      </c>
      <c r="AH94" s="23" t="str">
        <f>IF(AG94="","",IF(AG94&gt;=Panduan!$B$4,"Terserap","Perlu Evaluasi"))</f>
        <v/>
      </c>
      <c r="AI94" s="29" t="str">
        <f t="shared" ref="AI94:AJ94" si="103">IF(COUNTA(J94,O94,T94,Y94,AD94)=0,"",SUM(J94,O94,T94,Y94,AD94))</f>
        <v/>
      </c>
      <c r="AJ94" s="29" t="str">
        <f t="shared" si="103"/>
        <v/>
      </c>
      <c r="AK94" s="28" t="str">
        <f t="shared" si="15"/>
        <v/>
      </c>
      <c r="AL94" s="28" t="str">
        <f t="shared" si="16"/>
        <v/>
      </c>
      <c r="AM94" s="23" t="str">
        <f>IF(AL94="","",IF(AL94&gt;=Panduan!$B$4,"Terserap","Perlu Evaluasi"))</f>
        <v/>
      </c>
    </row>
    <row r="95" ht="15.75" customHeight="1">
      <c r="A95" s="23" t="str">
        <f t="shared" si="2"/>
        <v/>
      </c>
      <c r="B95" s="33"/>
      <c r="C95" s="23" t="str">
        <f t="shared" si="3"/>
        <v/>
      </c>
      <c r="D95" s="31"/>
      <c r="E95" s="31"/>
      <c r="F95" s="31"/>
      <c r="G95" s="31"/>
      <c r="H95" s="31"/>
      <c r="I95" s="32"/>
      <c r="J95" s="30"/>
      <c r="K95" s="30"/>
      <c r="L95" s="28" t="str">
        <f t="shared" si="4"/>
        <v/>
      </c>
      <c r="M95" s="28" t="str">
        <f t="shared" si="5"/>
        <v/>
      </c>
      <c r="N95" s="23" t="str">
        <f>IF(M95="","",IF(M95&gt;=Panduan!$B$4,"Terserap","Perlu Evaluasi"))</f>
        <v/>
      </c>
      <c r="O95" s="30"/>
      <c r="P95" s="30"/>
      <c r="Q95" s="28" t="str">
        <f t="shared" si="6"/>
        <v/>
      </c>
      <c r="R95" s="28" t="str">
        <f t="shared" si="7"/>
        <v/>
      </c>
      <c r="S95" s="23" t="str">
        <f>IF(R95="","",IF(R95&gt;=Panduan!$B$4,"Terserap","Perlu Evaluasi"))</f>
        <v/>
      </c>
      <c r="T95" s="30"/>
      <c r="U95" s="30"/>
      <c r="V95" s="28" t="str">
        <f t="shared" si="8"/>
        <v/>
      </c>
      <c r="W95" s="28" t="str">
        <f t="shared" si="9"/>
        <v/>
      </c>
      <c r="X95" s="23" t="str">
        <f>IF(W95="","",IF(W95&gt;=Panduan!$B$4,"Terserap","Perlu Evaluasi"))</f>
        <v/>
      </c>
      <c r="Y95" s="30"/>
      <c r="Z95" s="30"/>
      <c r="AA95" s="28" t="str">
        <f t="shared" si="10"/>
        <v/>
      </c>
      <c r="AB95" s="28" t="str">
        <f t="shared" si="11"/>
        <v/>
      </c>
      <c r="AC95" s="23" t="str">
        <f>IF(AB95="","",IF(AB95&gt;=Panduan!$B$4,"Terserap","Perlu Evaluasi"))</f>
        <v/>
      </c>
      <c r="AD95" s="30"/>
      <c r="AE95" s="30"/>
      <c r="AF95" s="28" t="str">
        <f t="shared" si="12"/>
        <v/>
      </c>
      <c r="AG95" s="28" t="str">
        <f t="shared" si="13"/>
        <v/>
      </c>
      <c r="AH95" s="23" t="str">
        <f>IF(AG95="","",IF(AG95&gt;=Panduan!$B$4,"Terserap","Perlu Evaluasi"))</f>
        <v/>
      </c>
      <c r="AI95" s="29" t="str">
        <f t="shared" ref="AI95:AJ95" si="104">IF(COUNTA(J95,O95,T95,Y95,AD95)=0,"",SUM(J95,O95,T95,Y95,AD95))</f>
        <v/>
      </c>
      <c r="AJ95" s="29" t="str">
        <f t="shared" si="104"/>
        <v/>
      </c>
      <c r="AK95" s="28" t="str">
        <f t="shared" si="15"/>
        <v/>
      </c>
      <c r="AL95" s="28" t="str">
        <f t="shared" si="16"/>
        <v/>
      </c>
      <c r="AM95" s="23" t="str">
        <f>IF(AL95="","",IF(AL95&gt;=Panduan!$B$4,"Terserap","Perlu Evaluasi"))</f>
        <v/>
      </c>
    </row>
    <row r="96" ht="15.75" customHeight="1">
      <c r="A96" s="23" t="str">
        <f t="shared" si="2"/>
        <v/>
      </c>
      <c r="B96" s="33"/>
      <c r="C96" s="23" t="str">
        <f t="shared" si="3"/>
        <v/>
      </c>
      <c r="D96" s="31"/>
      <c r="E96" s="31"/>
      <c r="F96" s="31"/>
      <c r="G96" s="31"/>
      <c r="H96" s="31"/>
      <c r="I96" s="32"/>
      <c r="J96" s="30"/>
      <c r="K96" s="30"/>
      <c r="L96" s="28" t="str">
        <f t="shared" si="4"/>
        <v/>
      </c>
      <c r="M96" s="28" t="str">
        <f t="shared" si="5"/>
        <v/>
      </c>
      <c r="N96" s="23" t="str">
        <f>IF(M96="","",IF(M96&gt;=Panduan!$B$4,"Terserap","Perlu Evaluasi"))</f>
        <v/>
      </c>
      <c r="O96" s="30"/>
      <c r="P96" s="30"/>
      <c r="Q96" s="28" t="str">
        <f t="shared" si="6"/>
        <v/>
      </c>
      <c r="R96" s="28" t="str">
        <f t="shared" si="7"/>
        <v/>
      </c>
      <c r="S96" s="23" t="str">
        <f>IF(R96="","",IF(R96&gt;=Panduan!$B$4,"Terserap","Perlu Evaluasi"))</f>
        <v/>
      </c>
      <c r="T96" s="30"/>
      <c r="U96" s="30"/>
      <c r="V96" s="28" t="str">
        <f t="shared" si="8"/>
        <v/>
      </c>
      <c r="W96" s="28" t="str">
        <f t="shared" si="9"/>
        <v/>
      </c>
      <c r="X96" s="23" t="str">
        <f>IF(W96="","",IF(W96&gt;=Panduan!$B$4,"Terserap","Perlu Evaluasi"))</f>
        <v/>
      </c>
      <c r="Y96" s="30"/>
      <c r="Z96" s="30"/>
      <c r="AA96" s="28" t="str">
        <f t="shared" si="10"/>
        <v/>
      </c>
      <c r="AB96" s="28" t="str">
        <f t="shared" si="11"/>
        <v/>
      </c>
      <c r="AC96" s="23" t="str">
        <f>IF(AB96="","",IF(AB96&gt;=Panduan!$B$4,"Terserap","Perlu Evaluasi"))</f>
        <v/>
      </c>
      <c r="AD96" s="30"/>
      <c r="AE96" s="30"/>
      <c r="AF96" s="28" t="str">
        <f t="shared" si="12"/>
        <v/>
      </c>
      <c r="AG96" s="28" t="str">
        <f t="shared" si="13"/>
        <v/>
      </c>
      <c r="AH96" s="23" t="str">
        <f>IF(AG96="","",IF(AG96&gt;=Panduan!$B$4,"Terserap","Perlu Evaluasi"))</f>
        <v/>
      </c>
      <c r="AI96" s="29" t="str">
        <f t="shared" ref="AI96:AJ96" si="105">IF(COUNTA(J96,O96,T96,Y96,AD96)=0,"",SUM(J96,O96,T96,Y96,AD96))</f>
        <v/>
      </c>
      <c r="AJ96" s="29" t="str">
        <f t="shared" si="105"/>
        <v/>
      </c>
      <c r="AK96" s="28" t="str">
        <f t="shared" si="15"/>
        <v/>
      </c>
      <c r="AL96" s="28" t="str">
        <f t="shared" si="16"/>
        <v/>
      </c>
      <c r="AM96" s="23" t="str">
        <f>IF(AL96="","",IF(AL96&gt;=Panduan!$B$4,"Terserap","Perlu Evaluasi"))</f>
        <v/>
      </c>
    </row>
    <row r="97" ht="15.75" customHeight="1">
      <c r="A97" s="23" t="str">
        <f t="shared" si="2"/>
        <v/>
      </c>
      <c r="B97" s="33"/>
      <c r="C97" s="23" t="str">
        <f t="shared" si="3"/>
        <v/>
      </c>
      <c r="D97" s="31"/>
      <c r="E97" s="31"/>
      <c r="F97" s="31"/>
      <c r="G97" s="31"/>
      <c r="H97" s="31"/>
      <c r="I97" s="32"/>
      <c r="J97" s="30"/>
      <c r="K97" s="30"/>
      <c r="L97" s="28" t="str">
        <f t="shared" si="4"/>
        <v/>
      </c>
      <c r="M97" s="28" t="str">
        <f t="shared" si="5"/>
        <v/>
      </c>
      <c r="N97" s="23" t="str">
        <f>IF(M97="","",IF(M97&gt;=Panduan!$B$4,"Terserap","Perlu Evaluasi"))</f>
        <v/>
      </c>
      <c r="O97" s="30"/>
      <c r="P97" s="30"/>
      <c r="Q97" s="28" t="str">
        <f t="shared" si="6"/>
        <v/>
      </c>
      <c r="R97" s="28" t="str">
        <f t="shared" si="7"/>
        <v/>
      </c>
      <c r="S97" s="23" t="str">
        <f>IF(R97="","",IF(R97&gt;=Panduan!$B$4,"Terserap","Perlu Evaluasi"))</f>
        <v/>
      </c>
      <c r="T97" s="30"/>
      <c r="U97" s="30"/>
      <c r="V97" s="28" t="str">
        <f t="shared" si="8"/>
        <v/>
      </c>
      <c r="W97" s="28" t="str">
        <f t="shared" si="9"/>
        <v/>
      </c>
      <c r="X97" s="23" t="str">
        <f>IF(W97="","",IF(W97&gt;=Panduan!$B$4,"Terserap","Perlu Evaluasi"))</f>
        <v/>
      </c>
      <c r="Y97" s="30"/>
      <c r="Z97" s="30"/>
      <c r="AA97" s="28" t="str">
        <f t="shared" si="10"/>
        <v/>
      </c>
      <c r="AB97" s="28" t="str">
        <f t="shared" si="11"/>
        <v/>
      </c>
      <c r="AC97" s="23" t="str">
        <f>IF(AB97="","",IF(AB97&gt;=Panduan!$B$4,"Terserap","Perlu Evaluasi"))</f>
        <v/>
      </c>
      <c r="AD97" s="30"/>
      <c r="AE97" s="30"/>
      <c r="AF97" s="28" t="str">
        <f t="shared" si="12"/>
        <v/>
      </c>
      <c r="AG97" s="28" t="str">
        <f t="shared" si="13"/>
        <v/>
      </c>
      <c r="AH97" s="23" t="str">
        <f>IF(AG97="","",IF(AG97&gt;=Panduan!$B$4,"Terserap","Perlu Evaluasi"))</f>
        <v/>
      </c>
      <c r="AI97" s="29" t="str">
        <f t="shared" ref="AI97:AJ97" si="106">IF(COUNTA(J97,O97,T97,Y97,AD97)=0,"",SUM(J97,O97,T97,Y97,AD97))</f>
        <v/>
      </c>
      <c r="AJ97" s="29" t="str">
        <f t="shared" si="106"/>
        <v/>
      </c>
      <c r="AK97" s="28" t="str">
        <f t="shared" si="15"/>
        <v/>
      </c>
      <c r="AL97" s="28" t="str">
        <f t="shared" si="16"/>
        <v/>
      </c>
      <c r="AM97" s="23" t="str">
        <f>IF(AL97="","",IF(AL97&gt;=Panduan!$B$4,"Terserap","Perlu Evaluasi"))</f>
        <v/>
      </c>
    </row>
    <row r="98" ht="15.75" customHeight="1">
      <c r="A98" s="23" t="str">
        <f t="shared" si="2"/>
        <v/>
      </c>
      <c r="B98" s="33"/>
      <c r="C98" s="23" t="str">
        <f t="shared" si="3"/>
        <v/>
      </c>
      <c r="D98" s="31"/>
      <c r="E98" s="31"/>
      <c r="F98" s="31"/>
      <c r="G98" s="31"/>
      <c r="H98" s="31"/>
      <c r="I98" s="32"/>
      <c r="J98" s="30"/>
      <c r="K98" s="30"/>
      <c r="L98" s="28" t="str">
        <f t="shared" si="4"/>
        <v/>
      </c>
      <c r="M98" s="28" t="str">
        <f t="shared" si="5"/>
        <v/>
      </c>
      <c r="N98" s="23" t="str">
        <f>IF(M98="","",IF(M98&gt;=Panduan!$B$4,"Terserap","Perlu Evaluasi"))</f>
        <v/>
      </c>
      <c r="O98" s="30"/>
      <c r="P98" s="30"/>
      <c r="Q98" s="28" t="str">
        <f t="shared" si="6"/>
        <v/>
      </c>
      <c r="R98" s="28" t="str">
        <f t="shared" si="7"/>
        <v/>
      </c>
      <c r="S98" s="23" t="str">
        <f>IF(R98="","",IF(R98&gt;=Panduan!$B$4,"Terserap","Perlu Evaluasi"))</f>
        <v/>
      </c>
      <c r="T98" s="30"/>
      <c r="U98" s="30"/>
      <c r="V98" s="28" t="str">
        <f t="shared" si="8"/>
        <v/>
      </c>
      <c r="W98" s="28" t="str">
        <f t="shared" si="9"/>
        <v/>
      </c>
      <c r="X98" s="23" t="str">
        <f>IF(W98="","",IF(W98&gt;=Panduan!$B$4,"Terserap","Perlu Evaluasi"))</f>
        <v/>
      </c>
      <c r="Y98" s="30"/>
      <c r="Z98" s="30"/>
      <c r="AA98" s="28" t="str">
        <f t="shared" si="10"/>
        <v/>
      </c>
      <c r="AB98" s="28" t="str">
        <f t="shared" si="11"/>
        <v/>
      </c>
      <c r="AC98" s="23" t="str">
        <f>IF(AB98="","",IF(AB98&gt;=Panduan!$B$4,"Terserap","Perlu Evaluasi"))</f>
        <v/>
      </c>
      <c r="AD98" s="30"/>
      <c r="AE98" s="30"/>
      <c r="AF98" s="28" t="str">
        <f t="shared" si="12"/>
        <v/>
      </c>
      <c r="AG98" s="28" t="str">
        <f t="shared" si="13"/>
        <v/>
      </c>
      <c r="AH98" s="23" t="str">
        <f>IF(AG98="","",IF(AG98&gt;=Panduan!$B$4,"Terserap","Perlu Evaluasi"))</f>
        <v/>
      </c>
      <c r="AI98" s="29" t="str">
        <f t="shared" ref="AI98:AJ98" si="107">IF(COUNTA(J98,O98,T98,Y98,AD98)=0,"",SUM(J98,O98,T98,Y98,AD98))</f>
        <v/>
      </c>
      <c r="AJ98" s="29" t="str">
        <f t="shared" si="107"/>
        <v/>
      </c>
      <c r="AK98" s="28" t="str">
        <f t="shared" si="15"/>
        <v/>
      </c>
      <c r="AL98" s="28" t="str">
        <f t="shared" si="16"/>
        <v/>
      </c>
      <c r="AM98" s="23" t="str">
        <f>IF(AL98="","",IF(AL98&gt;=Panduan!$B$4,"Terserap","Perlu Evaluasi"))</f>
        <v/>
      </c>
    </row>
    <row r="99" ht="15.75" customHeight="1">
      <c r="A99" s="23" t="str">
        <f t="shared" si="2"/>
        <v/>
      </c>
      <c r="B99" s="33"/>
      <c r="C99" s="23" t="str">
        <f t="shared" si="3"/>
        <v/>
      </c>
      <c r="D99" s="31"/>
      <c r="E99" s="31"/>
      <c r="F99" s="31"/>
      <c r="G99" s="31"/>
      <c r="H99" s="31"/>
      <c r="I99" s="32"/>
      <c r="J99" s="30"/>
      <c r="K99" s="30"/>
      <c r="L99" s="28" t="str">
        <f t="shared" si="4"/>
        <v/>
      </c>
      <c r="M99" s="28" t="str">
        <f t="shared" si="5"/>
        <v/>
      </c>
      <c r="N99" s="23" t="str">
        <f>IF(M99="","",IF(M99&gt;=Panduan!$B$4,"Terserap","Perlu Evaluasi"))</f>
        <v/>
      </c>
      <c r="O99" s="30"/>
      <c r="P99" s="30"/>
      <c r="Q99" s="28" t="str">
        <f t="shared" si="6"/>
        <v/>
      </c>
      <c r="R99" s="28" t="str">
        <f t="shared" si="7"/>
        <v/>
      </c>
      <c r="S99" s="23" t="str">
        <f>IF(R99="","",IF(R99&gt;=Panduan!$B$4,"Terserap","Perlu Evaluasi"))</f>
        <v/>
      </c>
      <c r="T99" s="30"/>
      <c r="U99" s="30"/>
      <c r="V99" s="28" t="str">
        <f t="shared" si="8"/>
        <v/>
      </c>
      <c r="W99" s="28" t="str">
        <f t="shared" si="9"/>
        <v/>
      </c>
      <c r="X99" s="23" t="str">
        <f>IF(W99="","",IF(W99&gt;=Panduan!$B$4,"Terserap","Perlu Evaluasi"))</f>
        <v/>
      </c>
      <c r="Y99" s="30"/>
      <c r="Z99" s="30"/>
      <c r="AA99" s="28" t="str">
        <f t="shared" si="10"/>
        <v/>
      </c>
      <c r="AB99" s="28" t="str">
        <f t="shared" si="11"/>
        <v/>
      </c>
      <c r="AC99" s="23" t="str">
        <f>IF(AB99="","",IF(AB99&gt;=Panduan!$B$4,"Terserap","Perlu Evaluasi"))</f>
        <v/>
      </c>
      <c r="AD99" s="30"/>
      <c r="AE99" s="30"/>
      <c r="AF99" s="28" t="str">
        <f t="shared" si="12"/>
        <v/>
      </c>
      <c r="AG99" s="28" t="str">
        <f t="shared" si="13"/>
        <v/>
      </c>
      <c r="AH99" s="23" t="str">
        <f>IF(AG99="","",IF(AG99&gt;=Panduan!$B$4,"Terserap","Perlu Evaluasi"))</f>
        <v/>
      </c>
      <c r="AI99" s="29" t="str">
        <f t="shared" ref="AI99:AJ99" si="108">IF(COUNTA(J99,O99,T99,Y99,AD99)=0,"",SUM(J99,O99,T99,Y99,AD99))</f>
        <v/>
      </c>
      <c r="AJ99" s="29" t="str">
        <f t="shared" si="108"/>
        <v/>
      </c>
      <c r="AK99" s="28" t="str">
        <f t="shared" si="15"/>
        <v/>
      </c>
      <c r="AL99" s="28" t="str">
        <f t="shared" si="16"/>
        <v/>
      </c>
      <c r="AM99" s="23" t="str">
        <f>IF(AL99="","",IF(AL99&gt;=Panduan!$B$4,"Terserap","Perlu Evaluasi"))</f>
        <v/>
      </c>
    </row>
    <row r="100" ht="15.75" customHeight="1">
      <c r="A100" s="23" t="str">
        <f t="shared" si="2"/>
        <v/>
      </c>
      <c r="B100" s="33"/>
      <c r="C100" s="23" t="str">
        <f t="shared" si="3"/>
        <v/>
      </c>
      <c r="D100" s="31"/>
      <c r="E100" s="31"/>
      <c r="F100" s="31"/>
      <c r="G100" s="31"/>
      <c r="H100" s="31"/>
      <c r="I100" s="32"/>
      <c r="J100" s="30"/>
      <c r="K100" s="30"/>
      <c r="L100" s="28" t="str">
        <f t="shared" si="4"/>
        <v/>
      </c>
      <c r="M100" s="28" t="str">
        <f t="shared" si="5"/>
        <v/>
      </c>
      <c r="N100" s="23" t="str">
        <f>IF(M100="","",IF(M100&gt;=Panduan!$B$4,"Terserap","Perlu Evaluasi"))</f>
        <v/>
      </c>
      <c r="O100" s="30"/>
      <c r="P100" s="30"/>
      <c r="Q100" s="28" t="str">
        <f t="shared" si="6"/>
        <v/>
      </c>
      <c r="R100" s="28" t="str">
        <f t="shared" si="7"/>
        <v/>
      </c>
      <c r="S100" s="23" t="str">
        <f>IF(R100="","",IF(R100&gt;=Panduan!$B$4,"Terserap","Perlu Evaluasi"))</f>
        <v/>
      </c>
      <c r="T100" s="30"/>
      <c r="U100" s="30"/>
      <c r="V100" s="28" t="str">
        <f t="shared" si="8"/>
        <v/>
      </c>
      <c r="W100" s="28" t="str">
        <f t="shared" si="9"/>
        <v/>
      </c>
      <c r="X100" s="23" t="str">
        <f>IF(W100="","",IF(W100&gt;=Panduan!$B$4,"Terserap","Perlu Evaluasi"))</f>
        <v/>
      </c>
      <c r="Y100" s="30"/>
      <c r="Z100" s="30"/>
      <c r="AA100" s="28" t="str">
        <f t="shared" si="10"/>
        <v/>
      </c>
      <c r="AB100" s="28" t="str">
        <f t="shared" si="11"/>
        <v/>
      </c>
      <c r="AC100" s="23" t="str">
        <f>IF(AB100="","",IF(AB100&gt;=Panduan!$B$4,"Terserap","Perlu Evaluasi"))</f>
        <v/>
      </c>
      <c r="AD100" s="30"/>
      <c r="AE100" s="30"/>
      <c r="AF100" s="28" t="str">
        <f t="shared" si="12"/>
        <v/>
      </c>
      <c r="AG100" s="28" t="str">
        <f t="shared" si="13"/>
        <v/>
      </c>
      <c r="AH100" s="23" t="str">
        <f>IF(AG100="","",IF(AG100&gt;=Panduan!$B$4,"Terserap","Perlu Evaluasi"))</f>
        <v/>
      </c>
      <c r="AI100" s="29" t="str">
        <f t="shared" ref="AI100:AJ100" si="109">IF(COUNTA(J100,O100,T100,Y100,AD100)=0,"",SUM(J100,O100,T100,Y100,AD100))</f>
        <v/>
      </c>
      <c r="AJ100" s="29" t="str">
        <f t="shared" si="109"/>
        <v/>
      </c>
      <c r="AK100" s="28" t="str">
        <f t="shared" si="15"/>
        <v/>
      </c>
      <c r="AL100" s="28" t="str">
        <f t="shared" si="16"/>
        <v/>
      </c>
      <c r="AM100" s="23" t="str">
        <f>IF(AL100="","",IF(AL100&gt;=Panduan!$B$4,"Terserap","Perlu Evaluasi"))</f>
        <v/>
      </c>
    </row>
    <row r="101" ht="15.75" customHeight="1">
      <c r="A101" s="23" t="str">
        <f t="shared" si="2"/>
        <v/>
      </c>
      <c r="B101" s="33"/>
      <c r="C101" s="23" t="str">
        <f t="shared" si="3"/>
        <v/>
      </c>
      <c r="D101" s="31"/>
      <c r="E101" s="31"/>
      <c r="F101" s="31"/>
      <c r="G101" s="31"/>
      <c r="H101" s="31"/>
      <c r="I101" s="32"/>
      <c r="J101" s="30"/>
      <c r="K101" s="30"/>
      <c r="L101" s="28" t="str">
        <f t="shared" si="4"/>
        <v/>
      </c>
      <c r="M101" s="28" t="str">
        <f t="shared" si="5"/>
        <v/>
      </c>
      <c r="N101" s="23" t="str">
        <f>IF(M101="","",IF(M101&gt;=Panduan!$B$4,"Terserap","Perlu Evaluasi"))</f>
        <v/>
      </c>
      <c r="O101" s="30"/>
      <c r="P101" s="30"/>
      <c r="Q101" s="28" t="str">
        <f t="shared" si="6"/>
        <v/>
      </c>
      <c r="R101" s="28" t="str">
        <f t="shared" si="7"/>
        <v/>
      </c>
      <c r="S101" s="23" t="str">
        <f>IF(R101="","",IF(R101&gt;=Panduan!$B$4,"Terserap","Perlu Evaluasi"))</f>
        <v/>
      </c>
      <c r="T101" s="30"/>
      <c r="U101" s="30"/>
      <c r="V101" s="28" t="str">
        <f t="shared" si="8"/>
        <v/>
      </c>
      <c r="W101" s="28" t="str">
        <f t="shared" si="9"/>
        <v/>
      </c>
      <c r="X101" s="23" t="str">
        <f>IF(W101="","",IF(W101&gt;=Panduan!$B$4,"Terserap","Perlu Evaluasi"))</f>
        <v/>
      </c>
      <c r="Y101" s="30"/>
      <c r="Z101" s="30"/>
      <c r="AA101" s="28" t="str">
        <f t="shared" si="10"/>
        <v/>
      </c>
      <c r="AB101" s="28" t="str">
        <f t="shared" si="11"/>
        <v/>
      </c>
      <c r="AC101" s="23" t="str">
        <f>IF(AB101="","",IF(AB101&gt;=Panduan!$B$4,"Terserap","Perlu Evaluasi"))</f>
        <v/>
      </c>
      <c r="AD101" s="30"/>
      <c r="AE101" s="30"/>
      <c r="AF101" s="28" t="str">
        <f t="shared" si="12"/>
        <v/>
      </c>
      <c r="AG101" s="28" t="str">
        <f t="shared" si="13"/>
        <v/>
      </c>
      <c r="AH101" s="23" t="str">
        <f>IF(AG101="","",IF(AG101&gt;=Panduan!$B$4,"Terserap","Perlu Evaluasi"))</f>
        <v/>
      </c>
      <c r="AI101" s="29" t="str">
        <f t="shared" ref="AI101:AJ101" si="110">IF(COUNTA(J101,O101,T101,Y101,AD101)=0,"",SUM(J101,O101,T101,Y101,AD101))</f>
        <v/>
      </c>
      <c r="AJ101" s="29" t="str">
        <f t="shared" si="110"/>
        <v/>
      </c>
      <c r="AK101" s="28" t="str">
        <f t="shared" si="15"/>
        <v/>
      </c>
      <c r="AL101" s="28" t="str">
        <f t="shared" si="16"/>
        <v/>
      </c>
      <c r="AM101" s="23" t="str">
        <f>IF(AL101="","",IF(AL101&gt;=Panduan!$B$4,"Terserap","Perlu Evaluasi"))</f>
        <v/>
      </c>
    </row>
    <row r="102" ht="15.75" customHeight="1">
      <c r="A102" s="23" t="str">
        <f t="shared" si="2"/>
        <v/>
      </c>
      <c r="B102" s="33"/>
      <c r="C102" s="23" t="str">
        <f t="shared" si="3"/>
        <v/>
      </c>
      <c r="D102" s="31"/>
      <c r="E102" s="31"/>
      <c r="F102" s="31"/>
      <c r="G102" s="31"/>
      <c r="H102" s="31"/>
      <c r="I102" s="32"/>
      <c r="J102" s="30"/>
      <c r="K102" s="30"/>
      <c r="L102" s="28" t="str">
        <f t="shared" si="4"/>
        <v/>
      </c>
      <c r="M102" s="28" t="str">
        <f t="shared" si="5"/>
        <v/>
      </c>
      <c r="N102" s="23" t="str">
        <f>IF(M102="","",IF(M102&gt;=Panduan!$B$4,"Terserap","Perlu Evaluasi"))</f>
        <v/>
      </c>
      <c r="O102" s="30"/>
      <c r="P102" s="30"/>
      <c r="Q102" s="28" t="str">
        <f t="shared" si="6"/>
        <v/>
      </c>
      <c r="R102" s="28" t="str">
        <f t="shared" si="7"/>
        <v/>
      </c>
      <c r="S102" s="23" t="str">
        <f>IF(R102="","",IF(R102&gt;=Panduan!$B$4,"Terserap","Perlu Evaluasi"))</f>
        <v/>
      </c>
      <c r="T102" s="30"/>
      <c r="U102" s="30"/>
      <c r="V102" s="28" t="str">
        <f t="shared" si="8"/>
        <v/>
      </c>
      <c r="W102" s="28" t="str">
        <f t="shared" si="9"/>
        <v/>
      </c>
      <c r="X102" s="23" t="str">
        <f>IF(W102="","",IF(W102&gt;=Panduan!$B$4,"Terserap","Perlu Evaluasi"))</f>
        <v/>
      </c>
      <c r="Y102" s="30"/>
      <c r="Z102" s="30"/>
      <c r="AA102" s="28" t="str">
        <f t="shared" si="10"/>
        <v/>
      </c>
      <c r="AB102" s="28" t="str">
        <f t="shared" si="11"/>
        <v/>
      </c>
      <c r="AC102" s="23" t="str">
        <f>IF(AB102="","",IF(AB102&gt;=Panduan!$B$4,"Terserap","Perlu Evaluasi"))</f>
        <v/>
      </c>
      <c r="AD102" s="30"/>
      <c r="AE102" s="30"/>
      <c r="AF102" s="28" t="str">
        <f t="shared" si="12"/>
        <v/>
      </c>
      <c r="AG102" s="28" t="str">
        <f t="shared" si="13"/>
        <v/>
      </c>
      <c r="AH102" s="23" t="str">
        <f>IF(AG102="","",IF(AG102&gt;=Panduan!$B$4,"Terserap","Perlu Evaluasi"))</f>
        <v/>
      </c>
      <c r="AI102" s="29" t="str">
        <f t="shared" ref="AI102:AJ102" si="111">IF(COUNTA(J102,O102,T102,Y102,AD102)=0,"",SUM(J102,O102,T102,Y102,AD102))</f>
        <v/>
      </c>
      <c r="AJ102" s="29" t="str">
        <f t="shared" si="111"/>
        <v/>
      </c>
      <c r="AK102" s="28" t="str">
        <f t="shared" si="15"/>
        <v/>
      </c>
      <c r="AL102" s="28" t="str">
        <f t="shared" si="16"/>
        <v/>
      </c>
      <c r="AM102" s="23" t="str">
        <f>IF(AL102="","",IF(AL102&gt;=Panduan!$B$4,"Terserap","Perlu Evaluasi"))</f>
        <v/>
      </c>
    </row>
    <row r="103" ht="15.75" customHeight="1">
      <c r="A103" s="23" t="str">
        <f t="shared" si="2"/>
        <v/>
      </c>
      <c r="B103" s="33"/>
      <c r="C103" s="23" t="str">
        <f t="shared" si="3"/>
        <v/>
      </c>
      <c r="D103" s="31"/>
      <c r="E103" s="31"/>
      <c r="F103" s="31"/>
      <c r="G103" s="31"/>
      <c r="H103" s="31"/>
      <c r="I103" s="32"/>
      <c r="J103" s="30"/>
      <c r="K103" s="30"/>
      <c r="L103" s="28" t="str">
        <f t="shared" si="4"/>
        <v/>
      </c>
      <c r="M103" s="28" t="str">
        <f t="shared" si="5"/>
        <v/>
      </c>
      <c r="N103" s="23" t="str">
        <f>IF(M103="","",IF(M103&gt;=Panduan!$B$4,"Terserap","Perlu Evaluasi"))</f>
        <v/>
      </c>
      <c r="O103" s="30"/>
      <c r="P103" s="30"/>
      <c r="Q103" s="28" t="str">
        <f t="shared" si="6"/>
        <v/>
      </c>
      <c r="R103" s="28" t="str">
        <f t="shared" si="7"/>
        <v/>
      </c>
      <c r="S103" s="23" t="str">
        <f>IF(R103="","",IF(R103&gt;=Panduan!$B$4,"Terserap","Perlu Evaluasi"))</f>
        <v/>
      </c>
      <c r="T103" s="30"/>
      <c r="U103" s="30"/>
      <c r="V103" s="28" t="str">
        <f t="shared" si="8"/>
        <v/>
      </c>
      <c r="W103" s="28" t="str">
        <f t="shared" si="9"/>
        <v/>
      </c>
      <c r="X103" s="23" t="str">
        <f>IF(W103="","",IF(W103&gt;=Panduan!$B$4,"Terserap","Perlu Evaluasi"))</f>
        <v/>
      </c>
      <c r="Y103" s="30"/>
      <c r="Z103" s="30"/>
      <c r="AA103" s="28" t="str">
        <f t="shared" si="10"/>
        <v/>
      </c>
      <c r="AB103" s="28" t="str">
        <f t="shared" si="11"/>
        <v/>
      </c>
      <c r="AC103" s="23" t="str">
        <f>IF(AB103="","",IF(AB103&gt;=Panduan!$B$4,"Terserap","Perlu Evaluasi"))</f>
        <v/>
      </c>
      <c r="AD103" s="30"/>
      <c r="AE103" s="30"/>
      <c r="AF103" s="28" t="str">
        <f t="shared" si="12"/>
        <v/>
      </c>
      <c r="AG103" s="28" t="str">
        <f t="shared" si="13"/>
        <v/>
      </c>
      <c r="AH103" s="23" t="str">
        <f>IF(AG103="","",IF(AG103&gt;=Panduan!$B$4,"Terserap","Perlu Evaluasi"))</f>
        <v/>
      </c>
      <c r="AI103" s="29" t="str">
        <f t="shared" ref="AI103:AJ103" si="112">IF(COUNTA(J103,O103,T103,Y103,AD103)=0,"",SUM(J103,O103,T103,Y103,AD103))</f>
        <v/>
      </c>
      <c r="AJ103" s="29" t="str">
        <f t="shared" si="112"/>
        <v/>
      </c>
      <c r="AK103" s="28" t="str">
        <f t="shared" si="15"/>
        <v/>
      </c>
      <c r="AL103" s="28" t="str">
        <f t="shared" si="16"/>
        <v/>
      </c>
      <c r="AM103" s="23" t="str">
        <f>IF(AL103="","",IF(AL103&gt;=Panduan!$B$4,"Terserap","Perlu Evaluasi"))</f>
        <v/>
      </c>
    </row>
    <row r="104" ht="15.75" customHeight="1">
      <c r="A104" s="23" t="str">
        <f t="shared" si="2"/>
        <v/>
      </c>
      <c r="B104" s="33"/>
      <c r="C104" s="23" t="str">
        <f t="shared" si="3"/>
        <v/>
      </c>
      <c r="D104" s="31"/>
      <c r="E104" s="31"/>
      <c r="F104" s="31"/>
      <c r="G104" s="31"/>
      <c r="H104" s="31"/>
      <c r="I104" s="32"/>
      <c r="J104" s="30"/>
      <c r="K104" s="30"/>
      <c r="L104" s="28" t="str">
        <f t="shared" si="4"/>
        <v/>
      </c>
      <c r="M104" s="28" t="str">
        <f t="shared" si="5"/>
        <v/>
      </c>
      <c r="N104" s="23" t="str">
        <f>IF(M104="","",IF(M104&gt;=Panduan!$B$4,"Terserap","Perlu Evaluasi"))</f>
        <v/>
      </c>
      <c r="O104" s="30"/>
      <c r="P104" s="30"/>
      <c r="Q104" s="28" t="str">
        <f t="shared" si="6"/>
        <v/>
      </c>
      <c r="R104" s="28" t="str">
        <f t="shared" si="7"/>
        <v/>
      </c>
      <c r="S104" s="23" t="str">
        <f>IF(R104="","",IF(R104&gt;=Panduan!$B$4,"Terserap","Perlu Evaluasi"))</f>
        <v/>
      </c>
      <c r="T104" s="30"/>
      <c r="U104" s="30"/>
      <c r="V104" s="28" t="str">
        <f t="shared" si="8"/>
        <v/>
      </c>
      <c r="W104" s="28" t="str">
        <f t="shared" si="9"/>
        <v/>
      </c>
      <c r="X104" s="23" t="str">
        <f>IF(W104="","",IF(W104&gt;=Panduan!$B$4,"Terserap","Perlu Evaluasi"))</f>
        <v/>
      </c>
      <c r="Y104" s="30"/>
      <c r="Z104" s="30"/>
      <c r="AA104" s="28" t="str">
        <f t="shared" si="10"/>
        <v/>
      </c>
      <c r="AB104" s="28" t="str">
        <f t="shared" si="11"/>
        <v/>
      </c>
      <c r="AC104" s="23" t="str">
        <f>IF(AB104="","",IF(AB104&gt;=Panduan!$B$4,"Terserap","Perlu Evaluasi"))</f>
        <v/>
      </c>
      <c r="AD104" s="30"/>
      <c r="AE104" s="30"/>
      <c r="AF104" s="28" t="str">
        <f t="shared" si="12"/>
        <v/>
      </c>
      <c r="AG104" s="28" t="str">
        <f t="shared" si="13"/>
        <v/>
      </c>
      <c r="AH104" s="23" t="str">
        <f>IF(AG104="","",IF(AG104&gt;=Panduan!$B$4,"Terserap","Perlu Evaluasi"))</f>
        <v/>
      </c>
      <c r="AI104" s="29" t="str">
        <f t="shared" ref="AI104:AJ104" si="113">IF(COUNTA(J104,O104,T104,Y104,AD104)=0,"",SUM(J104,O104,T104,Y104,AD104))</f>
        <v/>
      </c>
      <c r="AJ104" s="29" t="str">
        <f t="shared" si="113"/>
        <v/>
      </c>
      <c r="AK104" s="28" t="str">
        <f t="shared" si="15"/>
        <v/>
      </c>
      <c r="AL104" s="28" t="str">
        <f t="shared" si="16"/>
        <v/>
      </c>
      <c r="AM104" s="23" t="str">
        <f>IF(AL104="","",IF(AL104&gt;=Panduan!$B$4,"Terserap","Perlu Evaluasi"))</f>
        <v/>
      </c>
    </row>
    <row r="105" ht="15.75" customHeight="1">
      <c r="A105" s="23" t="str">
        <f t="shared" si="2"/>
        <v/>
      </c>
      <c r="B105" s="33"/>
      <c r="C105" s="23" t="str">
        <f t="shared" si="3"/>
        <v/>
      </c>
      <c r="D105" s="31"/>
      <c r="E105" s="31"/>
      <c r="F105" s="31"/>
      <c r="G105" s="31"/>
      <c r="H105" s="31"/>
      <c r="I105" s="32"/>
      <c r="J105" s="30"/>
      <c r="K105" s="30"/>
      <c r="L105" s="28" t="str">
        <f t="shared" si="4"/>
        <v/>
      </c>
      <c r="M105" s="28" t="str">
        <f t="shared" si="5"/>
        <v/>
      </c>
      <c r="N105" s="23" t="str">
        <f>IF(M105="","",IF(M105&gt;=Panduan!$B$4,"Terserap","Perlu Evaluasi"))</f>
        <v/>
      </c>
      <c r="O105" s="30"/>
      <c r="P105" s="30"/>
      <c r="Q105" s="28" t="str">
        <f t="shared" si="6"/>
        <v/>
      </c>
      <c r="R105" s="28" t="str">
        <f t="shared" si="7"/>
        <v/>
      </c>
      <c r="S105" s="23" t="str">
        <f>IF(R105="","",IF(R105&gt;=Panduan!$B$4,"Terserap","Perlu Evaluasi"))</f>
        <v/>
      </c>
      <c r="T105" s="30"/>
      <c r="U105" s="30"/>
      <c r="V105" s="28" t="str">
        <f t="shared" si="8"/>
        <v/>
      </c>
      <c r="W105" s="28" t="str">
        <f t="shared" si="9"/>
        <v/>
      </c>
      <c r="X105" s="23" t="str">
        <f>IF(W105="","",IF(W105&gt;=Panduan!$B$4,"Terserap","Perlu Evaluasi"))</f>
        <v/>
      </c>
      <c r="Y105" s="30"/>
      <c r="Z105" s="30"/>
      <c r="AA105" s="28" t="str">
        <f t="shared" si="10"/>
        <v/>
      </c>
      <c r="AB105" s="28" t="str">
        <f t="shared" si="11"/>
        <v/>
      </c>
      <c r="AC105" s="23" t="str">
        <f>IF(AB105="","",IF(AB105&gt;=Panduan!$B$4,"Terserap","Perlu Evaluasi"))</f>
        <v/>
      </c>
      <c r="AD105" s="30"/>
      <c r="AE105" s="30"/>
      <c r="AF105" s="28" t="str">
        <f t="shared" si="12"/>
        <v/>
      </c>
      <c r="AG105" s="28" t="str">
        <f t="shared" si="13"/>
        <v/>
      </c>
      <c r="AH105" s="23" t="str">
        <f>IF(AG105="","",IF(AG105&gt;=Panduan!$B$4,"Terserap","Perlu Evaluasi"))</f>
        <v/>
      </c>
      <c r="AI105" s="29" t="str">
        <f t="shared" ref="AI105:AJ105" si="114">IF(COUNTA(J105,O105,T105,Y105,AD105)=0,"",SUM(J105,O105,T105,Y105,AD105))</f>
        <v/>
      </c>
      <c r="AJ105" s="29" t="str">
        <f t="shared" si="114"/>
        <v/>
      </c>
      <c r="AK105" s="28" t="str">
        <f t="shared" si="15"/>
        <v/>
      </c>
      <c r="AL105" s="28" t="str">
        <f t="shared" si="16"/>
        <v/>
      </c>
      <c r="AM105" s="23" t="str">
        <f>IF(AL105="","",IF(AL105&gt;=Panduan!$B$4,"Terserap","Perlu Evaluasi"))</f>
        <v/>
      </c>
    </row>
    <row r="106" ht="15.75" customHeight="1">
      <c r="A106" s="23" t="str">
        <f t="shared" si="2"/>
        <v/>
      </c>
      <c r="B106" s="33"/>
      <c r="C106" s="23" t="str">
        <f t="shared" si="3"/>
        <v/>
      </c>
      <c r="D106" s="31"/>
      <c r="E106" s="31"/>
      <c r="F106" s="31"/>
      <c r="G106" s="31"/>
      <c r="H106" s="31"/>
      <c r="I106" s="32"/>
      <c r="J106" s="30"/>
      <c r="K106" s="30"/>
      <c r="L106" s="28" t="str">
        <f t="shared" si="4"/>
        <v/>
      </c>
      <c r="M106" s="28" t="str">
        <f t="shared" si="5"/>
        <v/>
      </c>
      <c r="N106" s="23" t="str">
        <f>IF(M106="","",IF(M106&gt;=Panduan!$B$4,"Terserap","Perlu Evaluasi"))</f>
        <v/>
      </c>
      <c r="O106" s="30"/>
      <c r="P106" s="30"/>
      <c r="Q106" s="28" t="str">
        <f t="shared" si="6"/>
        <v/>
      </c>
      <c r="R106" s="28" t="str">
        <f t="shared" si="7"/>
        <v/>
      </c>
      <c r="S106" s="23" t="str">
        <f>IF(R106="","",IF(R106&gt;=Panduan!$B$4,"Terserap","Perlu Evaluasi"))</f>
        <v/>
      </c>
      <c r="T106" s="30"/>
      <c r="U106" s="30"/>
      <c r="V106" s="28" t="str">
        <f t="shared" si="8"/>
        <v/>
      </c>
      <c r="W106" s="28" t="str">
        <f t="shared" si="9"/>
        <v/>
      </c>
      <c r="X106" s="23" t="str">
        <f>IF(W106="","",IF(W106&gt;=Panduan!$B$4,"Terserap","Perlu Evaluasi"))</f>
        <v/>
      </c>
      <c r="Y106" s="30"/>
      <c r="Z106" s="30"/>
      <c r="AA106" s="28" t="str">
        <f t="shared" si="10"/>
        <v/>
      </c>
      <c r="AB106" s="28" t="str">
        <f t="shared" si="11"/>
        <v/>
      </c>
      <c r="AC106" s="23" t="str">
        <f>IF(AB106="","",IF(AB106&gt;=Panduan!$B$4,"Terserap","Perlu Evaluasi"))</f>
        <v/>
      </c>
      <c r="AD106" s="30"/>
      <c r="AE106" s="30"/>
      <c r="AF106" s="28" t="str">
        <f t="shared" si="12"/>
        <v/>
      </c>
      <c r="AG106" s="28" t="str">
        <f t="shared" si="13"/>
        <v/>
      </c>
      <c r="AH106" s="23" t="str">
        <f>IF(AG106="","",IF(AG106&gt;=Panduan!$B$4,"Terserap","Perlu Evaluasi"))</f>
        <v/>
      </c>
      <c r="AI106" s="29" t="str">
        <f t="shared" ref="AI106:AJ106" si="115">IF(COUNTA(J106,O106,T106,Y106,AD106)=0,"",SUM(J106,O106,T106,Y106,AD106))</f>
        <v/>
      </c>
      <c r="AJ106" s="29" t="str">
        <f t="shared" si="115"/>
        <v/>
      </c>
      <c r="AK106" s="28" t="str">
        <f t="shared" si="15"/>
        <v/>
      </c>
      <c r="AL106" s="28" t="str">
        <f t="shared" si="16"/>
        <v/>
      </c>
      <c r="AM106" s="23" t="str">
        <f>IF(AL106="","",IF(AL106&gt;=Panduan!$B$4,"Terserap","Perlu Evaluasi"))</f>
        <v/>
      </c>
    </row>
    <row r="107" ht="15.75" customHeight="1">
      <c r="A107" s="23" t="str">
        <f t="shared" si="2"/>
        <v/>
      </c>
      <c r="B107" s="33"/>
      <c r="C107" s="23" t="str">
        <f t="shared" si="3"/>
        <v/>
      </c>
      <c r="D107" s="31"/>
      <c r="E107" s="31"/>
      <c r="F107" s="31"/>
      <c r="G107" s="31"/>
      <c r="H107" s="31"/>
      <c r="I107" s="32"/>
      <c r="J107" s="30"/>
      <c r="K107" s="30"/>
      <c r="L107" s="28" t="str">
        <f t="shared" si="4"/>
        <v/>
      </c>
      <c r="M107" s="28" t="str">
        <f t="shared" si="5"/>
        <v/>
      </c>
      <c r="N107" s="23" t="str">
        <f>IF(M107="","",IF(M107&gt;=Panduan!$B$4,"Terserap","Perlu Evaluasi"))</f>
        <v/>
      </c>
      <c r="O107" s="30"/>
      <c r="P107" s="30"/>
      <c r="Q107" s="28" t="str">
        <f t="shared" si="6"/>
        <v/>
      </c>
      <c r="R107" s="28" t="str">
        <f t="shared" si="7"/>
        <v/>
      </c>
      <c r="S107" s="23" t="str">
        <f>IF(R107="","",IF(R107&gt;=Panduan!$B$4,"Terserap","Perlu Evaluasi"))</f>
        <v/>
      </c>
      <c r="T107" s="30"/>
      <c r="U107" s="30"/>
      <c r="V107" s="28" t="str">
        <f t="shared" si="8"/>
        <v/>
      </c>
      <c r="W107" s="28" t="str">
        <f t="shared" si="9"/>
        <v/>
      </c>
      <c r="X107" s="23" t="str">
        <f>IF(W107="","",IF(W107&gt;=Panduan!$B$4,"Terserap","Perlu Evaluasi"))</f>
        <v/>
      </c>
      <c r="Y107" s="30"/>
      <c r="Z107" s="30"/>
      <c r="AA107" s="28" t="str">
        <f t="shared" si="10"/>
        <v/>
      </c>
      <c r="AB107" s="28" t="str">
        <f t="shared" si="11"/>
        <v/>
      </c>
      <c r="AC107" s="23" t="str">
        <f>IF(AB107="","",IF(AB107&gt;=Panduan!$B$4,"Terserap","Perlu Evaluasi"))</f>
        <v/>
      </c>
      <c r="AD107" s="30"/>
      <c r="AE107" s="30"/>
      <c r="AF107" s="28" t="str">
        <f t="shared" si="12"/>
        <v/>
      </c>
      <c r="AG107" s="28" t="str">
        <f t="shared" si="13"/>
        <v/>
      </c>
      <c r="AH107" s="23" t="str">
        <f>IF(AG107="","",IF(AG107&gt;=Panduan!$B$4,"Terserap","Perlu Evaluasi"))</f>
        <v/>
      </c>
      <c r="AI107" s="29" t="str">
        <f t="shared" ref="AI107:AJ107" si="116">IF(COUNTA(J107,O107,T107,Y107,AD107)=0,"",SUM(J107,O107,T107,Y107,AD107))</f>
        <v/>
      </c>
      <c r="AJ107" s="29" t="str">
        <f t="shared" si="116"/>
        <v/>
      </c>
      <c r="AK107" s="28" t="str">
        <f t="shared" si="15"/>
        <v/>
      </c>
      <c r="AL107" s="28" t="str">
        <f t="shared" si="16"/>
        <v/>
      </c>
      <c r="AM107" s="23" t="str">
        <f>IF(AL107="","",IF(AL107&gt;=Panduan!$B$4,"Terserap","Perlu Evaluasi"))</f>
        <v/>
      </c>
    </row>
    <row r="108" ht="15.75" customHeight="1">
      <c r="A108" s="23" t="str">
        <f t="shared" si="2"/>
        <v/>
      </c>
      <c r="B108" s="33"/>
      <c r="C108" s="23" t="str">
        <f t="shared" si="3"/>
        <v/>
      </c>
      <c r="D108" s="31"/>
      <c r="E108" s="31"/>
      <c r="F108" s="31"/>
      <c r="G108" s="31"/>
      <c r="H108" s="31"/>
      <c r="I108" s="32"/>
      <c r="J108" s="30"/>
      <c r="K108" s="30"/>
      <c r="L108" s="28" t="str">
        <f t="shared" si="4"/>
        <v/>
      </c>
      <c r="M108" s="28" t="str">
        <f t="shared" si="5"/>
        <v/>
      </c>
      <c r="N108" s="23" t="str">
        <f>IF(M108="","",IF(M108&gt;=Panduan!$B$4,"Terserap","Perlu Evaluasi"))</f>
        <v/>
      </c>
      <c r="O108" s="30"/>
      <c r="P108" s="30"/>
      <c r="Q108" s="28" t="str">
        <f t="shared" si="6"/>
        <v/>
      </c>
      <c r="R108" s="28" t="str">
        <f t="shared" si="7"/>
        <v/>
      </c>
      <c r="S108" s="23" t="str">
        <f>IF(R108="","",IF(R108&gt;=Panduan!$B$4,"Terserap","Perlu Evaluasi"))</f>
        <v/>
      </c>
      <c r="T108" s="30"/>
      <c r="U108" s="30"/>
      <c r="V108" s="28" t="str">
        <f t="shared" si="8"/>
        <v/>
      </c>
      <c r="W108" s="28" t="str">
        <f t="shared" si="9"/>
        <v/>
      </c>
      <c r="X108" s="23" t="str">
        <f>IF(W108="","",IF(W108&gt;=Panduan!$B$4,"Terserap","Perlu Evaluasi"))</f>
        <v/>
      </c>
      <c r="Y108" s="30"/>
      <c r="Z108" s="30"/>
      <c r="AA108" s="28" t="str">
        <f t="shared" si="10"/>
        <v/>
      </c>
      <c r="AB108" s="28" t="str">
        <f t="shared" si="11"/>
        <v/>
      </c>
      <c r="AC108" s="23" t="str">
        <f>IF(AB108="","",IF(AB108&gt;=Panduan!$B$4,"Terserap","Perlu Evaluasi"))</f>
        <v/>
      </c>
      <c r="AD108" s="30"/>
      <c r="AE108" s="30"/>
      <c r="AF108" s="28" t="str">
        <f t="shared" si="12"/>
        <v/>
      </c>
      <c r="AG108" s="28" t="str">
        <f t="shared" si="13"/>
        <v/>
      </c>
      <c r="AH108" s="23" t="str">
        <f>IF(AG108="","",IF(AG108&gt;=Panduan!$B$4,"Terserap","Perlu Evaluasi"))</f>
        <v/>
      </c>
      <c r="AI108" s="29" t="str">
        <f t="shared" ref="AI108:AJ108" si="117">IF(COUNTA(J108,O108,T108,Y108,AD108)=0,"",SUM(J108,O108,T108,Y108,AD108))</f>
        <v/>
      </c>
      <c r="AJ108" s="29" t="str">
        <f t="shared" si="117"/>
        <v/>
      </c>
      <c r="AK108" s="28" t="str">
        <f t="shared" si="15"/>
        <v/>
      </c>
      <c r="AL108" s="28" t="str">
        <f t="shared" si="16"/>
        <v/>
      </c>
      <c r="AM108" s="23" t="str">
        <f>IF(AL108="","",IF(AL108&gt;=Panduan!$B$4,"Terserap","Perlu Evaluasi"))</f>
        <v/>
      </c>
    </row>
    <row r="109" ht="15.75" customHeight="1">
      <c r="A109" s="23" t="str">
        <f t="shared" si="2"/>
        <v/>
      </c>
      <c r="B109" s="33"/>
      <c r="C109" s="23" t="str">
        <f t="shared" si="3"/>
        <v/>
      </c>
      <c r="D109" s="31"/>
      <c r="E109" s="31"/>
      <c r="F109" s="31"/>
      <c r="G109" s="31"/>
      <c r="H109" s="31"/>
      <c r="I109" s="32"/>
      <c r="J109" s="30"/>
      <c r="K109" s="30"/>
      <c r="L109" s="28" t="str">
        <f t="shared" si="4"/>
        <v/>
      </c>
      <c r="M109" s="28" t="str">
        <f t="shared" si="5"/>
        <v/>
      </c>
      <c r="N109" s="23" t="str">
        <f>IF(M109="","",IF(M109&gt;=Panduan!$B$4,"Terserap","Perlu Evaluasi"))</f>
        <v/>
      </c>
      <c r="O109" s="30"/>
      <c r="P109" s="30"/>
      <c r="Q109" s="28" t="str">
        <f t="shared" si="6"/>
        <v/>
      </c>
      <c r="R109" s="28" t="str">
        <f t="shared" si="7"/>
        <v/>
      </c>
      <c r="S109" s="23" t="str">
        <f>IF(R109="","",IF(R109&gt;=Panduan!$B$4,"Terserap","Perlu Evaluasi"))</f>
        <v/>
      </c>
      <c r="T109" s="30"/>
      <c r="U109" s="30"/>
      <c r="V109" s="28" t="str">
        <f t="shared" si="8"/>
        <v/>
      </c>
      <c r="W109" s="28" t="str">
        <f t="shared" si="9"/>
        <v/>
      </c>
      <c r="X109" s="23" t="str">
        <f>IF(W109="","",IF(W109&gt;=Panduan!$B$4,"Terserap","Perlu Evaluasi"))</f>
        <v/>
      </c>
      <c r="Y109" s="30"/>
      <c r="Z109" s="30"/>
      <c r="AA109" s="28" t="str">
        <f t="shared" si="10"/>
        <v/>
      </c>
      <c r="AB109" s="28" t="str">
        <f t="shared" si="11"/>
        <v/>
      </c>
      <c r="AC109" s="23" t="str">
        <f>IF(AB109="","",IF(AB109&gt;=Panduan!$B$4,"Terserap","Perlu Evaluasi"))</f>
        <v/>
      </c>
      <c r="AD109" s="30"/>
      <c r="AE109" s="30"/>
      <c r="AF109" s="28" t="str">
        <f t="shared" si="12"/>
        <v/>
      </c>
      <c r="AG109" s="28" t="str">
        <f t="shared" si="13"/>
        <v/>
      </c>
      <c r="AH109" s="23" t="str">
        <f>IF(AG109="","",IF(AG109&gt;=Panduan!$B$4,"Terserap","Perlu Evaluasi"))</f>
        <v/>
      </c>
      <c r="AI109" s="29" t="str">
        <f t="shared" ref="AI109:AJ109" si="118">IF(COUNTA(J109,O109,T109,Y109,AD109)=0,"",SUM(J109,O109,T109,Y109,AD109))</f>
        <v/>
      </c>
      <c r="AJ109" s="29" t="str">
        <f t="shared" si="118"/>
        <v/>
      </c>
      <c r="AK109" s="28" t="str">
        <f t="shared" si="15"/>
        <v/>
      </c>
      <c r="AL109" s="28" t="str">
        <f t="shared" si="16"/>
        <v/>
      </c>
      <c r="AM109" s="23" t="str">
        <f>IF(AL109="","",IF(AL109&gt;=Panduan!$B$4,"Terserap","Perlu Evaluasi"))</f>
        <v/>
      </c>
    </row>
    <row r="110" ht="15.75" customHeight="1">
      <c r="A110" s="23" t="str">
        <f t="shared" si="2"/>
        <v/>
      </c>
      <c r="B110" s="33"/>
      <c r="C110" s="23" t="str">
        <f t="shared" si="3"/>
        <v/>
      </c>
      <c r="D110" s="31"/>
      <c r="E110" s="31"/>
      <c r="F110" s="31"/>
      <c r="G110" s="31"/>
      <c r="H110" s="31"/>
      <c r="I110" s="32"/>
      <c r="J110" s="30"/>
      <c r="K110" s="30"/>
      <c r="L110" s="28" t="str">
        <f t="shared" si="4"/>
        <v/>
      </c>
      <c r="M110" s="28" t="str">
        <f t="shared" si="5"/>
        <v/>
      </c>
      <c r="N110" s="23" t="str">
        <f>IF(M110="","",IF(M110&gt;=Panduan!$B$4,"Terserap","Perlu Evaluasi"))</f>
        <v/>
      </c>
      <c r="O110" s="30"/>
      <c r="P110" s="30"/>
      <c r="Q110" s="28" t="str">
        <f t="shared" si="6"/>
        <v/>
      </c>
      <c r="R110" s="28" t="str">
        <f t="shared" si="7"/>
        <v/>
      </c>
      <c r="S110" s="23" t="str">
        <f>IF(R110="","",IF(R110&gt;=Panduan!$B$4,"Terserap","Perlu Evaluasi"))</f>
        <v/>
      </c>
      <c r="T110" s="30"/>
      <c r="U110" s="30"/>
      <c r="V110" s="28" t="str">
        <f t="shared" si="8"/>
        <v/>
      </c>
      <c r="W110" s="28" t="str">
        <f t="shared" si="9"/>
        <v/>
      </c>
      <c r="X110" s="23" t="str">
        <f>IF(W110="","",IF(W110&gt;=Panduan!$B$4,"Terserap","Perlu Evaluasi"))</f>
        <v/>
      </c>
      <c r="Y110" s="30"/>
      <c r="Z110" s="30"/>
      <c r="AA110" s="28" t="str">
        <f t="shared" si="10"/>
        <v/>
      </c>
      <c r="AB110" s="28" t="str">
        <f t="shared" si="11"/>
        <v/>
      </c>
      <c r="AC110" s="23" t="str">
        <f>IF(AB110="","",IF(AB110&gt;=Panduan!$B$4,"Terserap","Perlu Evaluasi"))</f>
        <v/>
      </c>
      <c r="AD110" s="30"/>
      <c r="AE110" s="30"/>
      <c r="AF110" s="28" t="str">
        <f t="shared" si="12"/>
        <v/>
      </c>
      <c r="AG110" s="28" t="str">
        <f t="shared" si="13"/>
        <v/>
      </c>
      <c r="AH110" s="23" t="str">
        <f>IF(AG110="","",IF(AG110&gt;=Panduan!$B$4,"Terserap","Perlu Evaluasi"))</f>
        <v/>
      </c>
      <c r="AI110" s="29" t="str">
        <f t="shared" ref="AI110:AJ110" si="119">IF(COUNTA(J110,O110,T110,Y110,AD110)=0,"",SUM(J110,O110,T110,Y110,AD110))</f>
        <v/>
      </c>
      <c r="AJ110" s="29" t="str">
        <f t="shared" si="119"/>
        <v/>
      </c>
      <c r="AK110" s="28" t="str">
        <f t="shared" si="15"/>
        <v/>
      </c>
      <c r="AL110" s="28" t="str">
        <f t="shared" si="16"/>
        <v/>
      </c>
      <c r="AM110" s="23" t="str">
        <f>IF(AL110="","",IF(AL110&gt;=Panduan!$B$4,"Terserap","Perlu Evaluasi"))</f>
        <v/>
      </c>
    </row>
    <row r="111" ht="15.75" customHeight="1">
      <c r="A111" s="23" t="str">
        <f t="shared" si="2"/>
        <v/>
      </c>
      <c r="B111" s="33"/>
      <c r="C111" s="23" t="str">
        <f t="shared" si="3"/>
        <v/>
      </c>
      <c r="D111" s="31"/>
      <c r="E111" s="31"/>
      <c r="F111" s="31"/>
      <c r="G111" s="31"/>
      <c r="H111" s="31"/>
      <c r="I111" s="32"/>
      <c r="J111" s="30"/>
      <c r="K111" s="30"/>
      <c r="L111" s="28" t="str">
        <f t="shared" si="4"/>
        <v/>
      </c>
      <c r="M111" s="28" t="str">
        <f t="shared" si="5"/>
        <v/>
      </c>
      <c r="N111" s="23" t="str">
        <f>IF(M111="","",IF(M111&gt;=Panduan!$B$4,"Terserap","Perlu Evaluasi"))</f>
        <v/>
      </c>
      <c r="O111" s="30"/>
      <c r="P111" s="30"/>
      <c r="Q111" s="28" t="str">
        <f t="shared" si="6"/>
        <v/>
      </c>
      <c r="R111" s="28" t="str">
        <f t="shared" si="7"/>
        <v/>
      </c>
      <c r="S111" s="23" t="str">
        <f>IF(R111="","",IF(R111&gt;=Panduan!$B$4,"Terserap","Perlu Evaluasi"))</f>
        <v/>
      </c>
      <c r="T111" s="30"/>
      <c r="U111" s="30"/>
      <c r="V111" s="28" t="str">
        <f t="shared" si="8"/>
        <v/>
      </c>
      <c r="W111" s="28" t="str">
        <f t="shared" si="9"/>
        <v/>
      </c>
      <c r="X111" s="23" t="str">
        <f>IF(W111="","",IF(W111&gt;=Panduan!$B$4,"Terserap","Perlu Evaluasi"))</f>
        <v/>
      </c>
      <c r="Y111" s="30"/>
      <c r="Z111" s="30"/>
      <c r="AA111" s="28" t="str">
        <f t="shared" si="10"/>
        <v/>
      </c>
      <c r="AB111" s="28" t="str">
        <f t="shared" si="11"/>
        <v/>
      </c>
      <c r="AC111" s="23" t="str">
        <f>IF(AB111="","",IF(AB111&gt;=Panduan!$B$4,"Terserap","Perlu Evaluasi"))</f>
        <v/>
      </c>
      <c r="AD111" s="30"/>
      <c r="AE111" s="30"/>
      <c r="AF111" s="28" t="str">
        <f t="shared" si="12"/>
        <v/>
      </c>
      <c r="AG111" s="28" t="str">
        <f t="shared" si="13"/>
        <v/>
      </c>
      <c r="AH111" s="23" t="str">
        <f>IF(AG111="","",IF(AG111&gt;=Panduan!$B$4,"Terserap","Perlu Evaluasi"))</f>
        <v/>
      </c>
      <c r="AI111" s="29" t="str">
        <f t="shared" ref="AI111:AJ111" si="120">IF(COUNTA(J111,O111,T111,Y111,AD111)=0,"",SUM(J111,O111,T111,Y111,AD111))</f>
        <v/>
      </c>
      <c r="AJ111" s="29" t="str">
        <f t="shared" si="120"/>
        <v/>
      </c>
      <c r="AK111" s="28" t="str">
        <f t="shared" si="15"/>
        <v/>
      </c>
      <c r="AL111" s="28" t="str">
        <f t="shared" si="16"/>
        <v/>
      </c>
      <c r="AM111" s="23" t="str">
        <f>IF(AL111="","",IF(AL111&gt;=Panduan!$B$4,"Terserap","Perlu Evaluasi"))</f>
        <v/>
      </c>
    </row>
    <row r="112" ht="15.75" customHeight="1">
      <c r="A112" s="23" t="str">
        <f t="shared" si="2"/>
        <v/>
      </c>
      <c r="B112" s="33"/>
      <c r="C112" s="23" t="str">
        <f t="shared" si="3"/>
        <v/>
      </c>
      <c r="D112" s="31"/>
      <c r="E112" s="31"/>
      <c r="F112" s="31"/>
      <c r="G112" s="31"/>
      <c r="H112" s="31"/>
      <c r="I112" s="32"/>
      <c r="J112" s="30"/>
      <c r="K112" s="30"/>
      <c r="L112" s="28" t="str">
        <f t="shared" si="4"/>
        <v/>
      </c>
      <c r="M112" s="28" t="str">
        <f t="shared" si="5"/>
        <v/>
      </c>
      <c r="N112" s="23" t="str">
        <f>IF(M112="","",IF(M112&gt;=Panduan!$B$4,"Terserap","Perlu Evaluasi"))</f>
        <v/>
      </c>
      <c r="O112" s="30"/>
      <c r="P112" s="30"/>
      <c r="Q112" s="28" t="str">
        <f t="shared" si="6"/>
        <v/>
      </c>
      <c r="R112" s="28" t="str">
        <f t="shared" si="7"/>
        <v/>
      </c>
      <c r="S112" s="23" t="str">
        <f>IF(R112="","",IF(R112&gt;=Panduan!$B$4,"Terserap","Perlu Evaluasi"))</f>
        <v/>
      </c>
      <c r="T112" s="30"/>
      <c r="U112" s="30"/>
      <c r="V112" s="28" t="str">
        <f t="shared" si="8"/>
        <v/>
      </c>
      <c r="W112" s="28" t="str">
        <f t="shared" si="9"/>
        <v/>
      </c>
      <c r="X112" s="23" t="str">
        <f>IF(W112="","",IF(W112&gt;=Panduan!$B$4,"Terserap","Perlu Evaluasi"))</f>
        <v/>
      </c>
      <c r="Y112" s="30"/>
      <c r="Z112" s="30"/>
      <c r="AA112" s="28" t="str">
        <f t="shared" si="10"/>
        <v/>
      </c>
      <c r="AB112" s="28" t="str">
        <f t="shared" si="11"/>
        <v/>
      </c>
      <c r="AC112" s="23" t="str">
        <f>IF(AB112="","",IF(AB112&gt;=Panduan!$B$4,"Terserap","Perlu Evaluasi"))</f>
        <v/>
      </c>
      <c r="AD112" s="30"/>
      <c r="AE112" s="30"/>
      <c r="AF112" s="28" t="str">
        <f t="shared" si="12"/>
        <v/>
      </c>
      <c r="AG112" s="28" t="str">
        <f t="shared" si="13"/>
        <v/>
      </c>
      <c r="AH112" s="23" t="str">
        <f>IF(AG112="","",IF(AG112&gt;=Panduan!$B$4,"Terserap","Perlu Evaluasi"))</f>
        <v/>
      </c>
      <c r="AI112" s="29" t="str">
        <f t="shared" ref="AI112:AJ112" si="121">IF(COUNTA(J112,O112,T112,Y112,AD112)=0,"",SUM(J112,O112,T112,Y112,AD112))</f>
        <v/>
      </c>
      <c r="AJ112" s="29" t="str">
        <f t="shared" si="121"/>
        <v/>
      </c>
      <c r="AK112" s="28" t="str">
        <f t="shared" si="15"/>
        <v/>
      </c>
      <c r="AL112" s="28" t="str">
        <f t="shared" si="16"/>
        <v/>
      </c>
      <c r="AM112" s="23" t="str">
        <f>IF(AL112="","",IF(AL112&gt;=Panduan!$B$4,"Terserap","Perlu Evaluasi"))</f>
        <v/>
      </c>
    </row>
    <row r="113" ht="15.75" customHeight="1">
      <c r="A113" s="23" t="str">
        <f t="shared" si="2"/>
        <v/>
      </c>
      <c r="B113" s="33"/>
      <c r="C113" s="23" t="str">
        <f t="shared" si="3"/>
        <v/>
      </c>
      <c r="D113" s="31"/>
      <c r="E113" s="31"/>
      <c r="F113" s="31"/>
      <c r="G113" s="31"/>
      <c r="H113" s="31"/>
      <c r="I113" s="32"/>
      <c r="J113" s="30"/>
      <c r="K113" s="30"/>
      <c r="L113" s="28" t="str">
        <f t="shared" si="4"/>
        <v/>
      </c>
      <c r="M113" s="28" t="str">
        <f t="shared" si="5"/>
        <v/>
      </c>
      <c r="N113" s="23" t="str">
        <f>IF(M113="","",IF(M113&gt;=Panduan!$B$4,"Terserap","Perlu Evaluasi"))</f>
        <v/>
      </c>
      <c r="O113" s="30"/>
      <c r="P113" s="30"/>
      <c r="Q113" s="28" t="str">
        <f t="shared" si="6"/>
        <v/>
      </c>
      <c r="R113" s="28" t="str">
        <f t="shared" si="7"/>
        <v/>
      </c>
      <c r="S113" s="23" t="str">
        <f>IF(R113="","",IF(R113&gt;=Panduan!$B$4,"Terserap","Perlu Evaluasi"))</f>
        <v/>
      </c>
      <c r="T113" s="30"/>
      <c r="U113" s="30"/>
      <c r="V113" s="28" t="str">
        <f t="shared" si="8"/>
        <v/>
      </c>
      <c r="W113" s="28" t="str">
        <f t="shared" si="9"/>
        <v/>
      </c>
      <c r="X113" s="23" t="str">
        <f>IF(W113="","",IF(W113&gt;=Panduan!$B$4,"Terserap","Perlu Evaluasi"))</f>
        <v/>
      </c>
      <c r="Y113" s="30"/>
      <c r="Z113" s="30"/>
      <c r="AA113" s="28" t="str">
        <f t="shared" si="10"/>
        <v/>
      </c>
      <c r="AB113" s="28" t="str">
        <f t="shared" si="11"/>
        <v/>
      </c>
      <c r="AC113" s="23" t="str">
        <f>IF(AB113="","",IF(AB113&gt;=Panduan!$B$4,"Terserap","Perlu Evaluasi"))</f>
        <v/>
      </c>
      <c r="AD113" s="30"/>
      <c r="AE113" s="30"/>
      <c r="AF113" s="28" t="str">
        <f t="shared" si="12"/>
        <v/>
      </c>
      <c r="AG113" s="28" t="str">
        <f t="shared" si="13"/>
        <v/>
      </c>
      <c r="AH113" s="23" t="str">
        <f>IF(AG113="","",IF(AG113&gt;=Panduan!$B$4,"Terserap","Perlu Evaluasi"))</f>
        <v/>
      </c>
      <c r="AI113" s="29" t="str">
        <f t="shared" ref="AI113:AJ113" si="122">IF(COUNTA(J113,O113,T113,Y113,AD113)=0,"",SUM(J113,O113,T113,Y113,AD113))</f>
        <v/>
      </c>
      <c r="AJ113" s="29" t="str">
        <f t="shared" si="122"/>
        <v/>
      </c>
      <c r="AK113" s="28" t="str">
        <f t="shared" si="15"/>
        <v/>
      </c>
      <c r="AL113" s="28" t="str">
        <f t="shared" si="16"/>
        <v/>
      </c>
      <c r="AM113" s="23" t="str">
        <f>IF(AL113="","",IF(AL113&gt;=Panduan!$B$4,"Terserap","Perlu Evaluasi"))</f>
        <v/>
      </c>
    </row>
    <row r="114" ht="15.75" customHeight="1">
      <c r="A114" s="23" t="str">
        <f t="shared" si="2"/>
        <v/>
      </c>
      <c r="B114" s="33"/>
      <c r="C114" s="23" t="str">
        <f t="shared" si="3"/>
        <v/>
      </c>
      <c r="D114" s="31"/>
      <c r="E114" s="31"/>
      <c r="F114" s="31"/>
      <c r="G114" s="31"/>
      <c r="H114" s="31"/>
      <c r="I114" s="32"/>
      <c r="J114" s="30"/>
      <c r="K114" s="30"/>
      <c r="L114" s="28" t="str">
        <f t="shared" si="4"/>
        <v/>
      </c>
      <c r="M114" s="28" t="str">
        <f t="shared" si="5"/>
        <v/>
      </c>
      <c r="N114" s="23" t="str">
        <f>IF(M114="","",IF(M114&gt;=Panduan!$B$4,"Terserap","Perlu Evaluasi"))</f>
        <v/>
      </c>
      <c r="O114" s="30"/>
      <c r="P114" s="30"/>
      <c r="Q114" s="28" t="str">
        <f t="shared" si="6"/>
        <v/>
      </c>
      <c r="R114" s="28" t="str">
        <f t="shared" si="7"/>
        <v/>
      </c>
      <c r="S114" s="23" t="str">
        <f>IF(R114="","",IF(R114&gt;=Panduan!$B$4,"Terserap","Perlu Evaluasi"))</f>
        <v/>
      </c>
      <c r="T114" s="30"/>
      <c r="U114" s="30"/>
      <c r="V114" s="28" t="str">
        <f t="shared" si="8"/>
        <v/>
      </c>
      <c r="W114" s="28" t="str">
        <f t="shared" si="9"/>
        <v/>
      </c>
      <c r="X114" s="23" t="str">
        <f>IF(W114="","",IF(W114&gt;=Panduan!$B$4,"Terserap","Perlu Evaluasi"))</f>
        <v/>
      </c>
      <c r="Y114" s="30"/>
      <c r="Z114" s="30"/>
      <c r="AA114" s="28" t="str">
        <f t="shared" si="10"/>
        <v/>
      </c>
      <c r="AB114" s="28" t="str">
        <f t="shared" si="11"/>
        <v/>
      </c>
      <c r="AC114" s="23" t="str">
        <f>IF(AB114="","",IF(AB114&gt;=Panduan!$B$4,"Terserap","Perlu Evaluasi"))</f>
        <v/>
      </c>
      <c r="AD114" s="30"/>
      <c r="AE114" s="30"/>
      <c r="AF114" s="28" t="str">
        <f t="shared" si="12"/>
        <v/>
      </c>
      <c r="AG114" s="28" t="str">
        <f t="shared" si="13"/>
        <v/>
      </c>
      <c r="AH114" s="23" t="str">
        <f>IF(AG114="","",IF(AG114&gt;=Panduan!$B$4,"Terserap","Perlu Evaluasi"))</f>
        <v/>
      </c>
      <c r="AI114" s="29" t="str">
        <f t="shared" ref="AI114:AJ114" si="123">IF(COUNTA(J114,O114,T114,Y114,AD114)=0,"",SUM(J114,O114,T114,Y114,AD114))</f>
        <v/>
      </c>
      <c r="AJ114" s="29" t="str">
        <f t="shared" si="123"/>
        <v/>
      </c>
      <c r="AK114" s="28" t="str">
        <f t="shared" si="15"/>
        <v/>
      </c>
      <c r="AL114" s="28" t="str">
        <f t="shared" si="16"/>
        <v/>
      </c>
      <c r="AM114" s="23" t="str">
        <f>IF(AL114="","",IF(AL114&gt;=Panduan!$B$4,"Terserap","Perlu Evaluasi"))</f>
        <v/>
      </c>
    </row>
    <row r="115" ht="15.75" customHeight="1">
      <c r="A115" s="23" t="str">
        <f t="shared" si="2"/>
        <v/>
      </c>
      <c r="B115" s="33"/>
      <c r="C115" s="23" t="str">
        <f t="shared" si="3"/>
        <v/>
      </c>
      <c r="D115" s="31"/>
      <c r="E115" s="31"/>
      <c r="F115" s="31"/>
      <c r="G115" s="31"/>
      <c r="H115" s="31"/>
      <c r="I115" s="32"/>
      <c r="J115" s="30"/>
      <c r="K115" s="30"/>
      <c r="L115" s="28" t="str">
        <f t="shared" si="4"/>
        <v/>
      </c>
      <c r="M115" s="28" t="str">
        <f t="shared" si="5"/>
        <v/>
      </c>
      <c r="N115" s="23" t="str">
        <f>IF(M115="","",IF(M115&gt;=Panduan!$B$4,"Terserap","Perlu Evaluasi"))</f>
        <v/>
      </c>
      <c r="O115" s="30"/>
      <c r="P115" s="30"/>
      <c r="Q115" s="28" t="str">
        <f t="shared" si="6"/>
        <v/>
      </c>
      <c r="R115" s="28" t="str">
        <f t="shared" si="7"/>
        <v/>
      </c>
      <c r="S115" s="23" t="str">
        <f>IF(R115="","",IF(R115&gt;=Panduan!$B$4,"Terserap","Perlu Evaluasi"))</f>
        <v/>
      </c>
      <c r="T115" s="30"/>
      <c r="U115" s="30"/>
      <c r="V115" s="28" t="str">
        <f t="shared" si="8"/>
        <v/>
      </c>
      <c r="W115" s="28" t="str">
        <f t="shared" si="9"/>
        <v/>
      </c>
      <c r="X115" s="23" t="str">
        <f>IF(W115="","",IF(W115&gt;=Panduan!$B$4,"Terserap","Perlu Evaluasi"))</f>
        <v/>
      </c>
      <c r="Y115" s="30"/>
      <c r="Z115" s="30"/>
      <c r="AA115" s="28" t="str">
        <f t="shared" si="10"/>
        <v/>
      </c>
      <c r="AB115" s="28" t="str">
        <f t="shared" si="11"/>
        <v/>
      </c>
      <c r="AC115" s="23" t="str">
        <f>IF(AB115="","",IF(AB115&gt;=Panduan!$B$4,"Terserap","Perlu Evaluasi"))</f>
        <v/>
      </c>
      <c r="AD115" s="30"/>
      <c r="AE115" s="30"/>
      <c r="AF115" s="28" t="str">
        <f t="shared" si="12"/>
        <v/>
      </c>
      <c r="AG115" s="28" t="str">
        <f t="shared" si="13"/>
        <v/>
      </c>
      <c r="AH115" s="23" t="str">
        <f>IF(AG115="","",IF(AG115&gt;=Panduan!$B$4,"Terserap","Perlu Evaluasi"))</f>
        <v/>
      </c>
      <c r="AI115" s="29" t="str">
        <f t="shared" ref="AI115:AJ115" si="124">IF(COUNTA(J115,O115,T115,Y115,AD115)=0,"",SUM(J115,O115,T115,Y115,AD115))</f>
        <v/>
      </c>
      <c r="AJ115" s="29" t="str">
        <f t="shared" si="124"/>
        <v/>
      </c>
      <c r="AK115" s="28" t="str">
        <f t="shared" si="15"/>
        <v/>
      </c>
      <c r="AL115" s="28" t="str">
        <f t="shared" si="16"/>
        <v/>
      </c>
      <c r="AM115" s="23" t="str">
        <f>IF(AL115="","",IF(AL115&gt;=Panduan!$B$4,"Terserap","Perlu Evaluasi"))</f>
        <v/>
      </c>
    </row>
    <row r="116" ht="15.75" customHeight="1">
      <c r="A116" s="23" t="str">
        <f t="shared" si="2"/>
        <v/>
      </c>
      <c r="B116" s="33"/>
      <c r="C116" s="23" t="str">
        <f t="shared" si="3"/>
        <v/>
      </c>
      <c r="D116" s="31"/>
      <c r="E116" s="31"/>
      <c r="F116" s="31"/>
      <c r="G116" s="31"/>
      <c r="H116" s="31"/>
      <c r="I116" s="32"/>
      <c r="J116" s="30"/>
      <c r="K116" s="30"/>
      <c r="L116" s="28" t="str">
        <f t="shared" si="4"/>
        <v/>
      </c>
      <c r="M116" s="28" t="str">
        <f t="shared" si="5"/>
        <v/>
      </c>
      <c r="N116" s="23" t="str">
        <f>IF(M116="","",IF(M116&gt;=Panduan!$B$4,"Terserap","Perlu Evaluasi"))</f>
        <v/>
      </c>
      <c r="O116" s="30"/>
      <c r="P116" s="30"/>
      <c r="Q116" s="28" t="str">
        <f t="shared" si="6"/>
        <v/>
      </c>
      <c r="R116" s="28" t="str">
        <f t="shared" si="7"/>
        <v/>
      </c>
      <c r="S116" s="23" t="str">
        <f>IF(R116="","",IF(R116&gt;=Panduan!$B$4,"Terserap","Perlu Evaluasi"))</f>
        <v/>
      </c>
      <c r="T116" s="30"/>
      <c r="U116" s="30"/>
      <c r="V116" s="28" t="str">
        <f t="shared" si="8"/>
        <v/>
      </c>
      <c r="W116" s="28" t="str">
        <f t="shared" si="9"/>
        <v/>
      </c>
      <c r="X116" s="23" t="str">
        <f>IF(W116="","",IF(W116&gt;=Panduan!$B$4,"Terserap","Perlu Evaluasi"))</f>
        <v/>
      </c>
      <c r="Y116" s="30"/>
      <c r="Z116" s="30"/>
      <c r="AA116" s="28" t="str">
        <f t="shared" si="10"/>
        <v/>
      </c>
      <c r="AB116" s="28" t="str">
        <f t="shared" si="11"/>
        <v/>
      </c>
      <c r="AC116" s="23" t="str">
        <f>IF(AB116="","",IF(AB116&gt;=Panduan!$B$4,"Terserap","Perlu Evaluasi"))</f>
        <v/>
      </c>
      <c r="AD116" s="30"/>
      <c r="AE116" s="30"/>
      <c r="AF116" s="28" t="str">
        <f t="shared" si="12"/>
        <v/>
      </c>
      <c r="AG116" s="28" t="str">
        <f t="shared" si="13"/>
        <v/>
      </c>
      <c r="AH116" s="23" t="str">
        <f>IF(AG116="","",IF(AG116&gt;=Panduan!$B$4,"Terserap","Perlu Evaluasi"))</f>
        <v/>
      </c>
      <c r="AI116" s="29" t="str">
        <f t="shared" ref="AI116:AJ116" si="125">IF(COUNTA(J116,O116,T116,Y116,AD116)=0,"",SUM(J116,O116,T116,Y116,AD116))</f>
        <v/>
      </c>
      <c r="AJ116" s="29" t="str">
        <f t="shared" si="125"/>
        <v/>
      </c>
      <c r="AK116" s="28" t="str">
        <f t="shared" si="15"/>
        <v/>
      </c>
      <c r="AL116" s="28" t="str">
        <f t="shared" si="16"/>
        <v/>
      </c>
      <c r="AM116" s="23" t="str">
        <f>IF(AL116="","",IF(AL116&gt;=Panduan!$B$4,"Terserap","Perlu Evaluasi"))</f>
        <v/>
      </c>
    </row>
    <row r="117" ht="15.75" customHeight="1">
      <c r="A117" s="23" t="str">
        <f t="shared" si="2"/>
        <v/>
      </c>
      <c r="B117" s="33"/>
      <c r="C117" s="23" t="str">
        <f t="shared" si="3"/>
        <v/>
      </c>
      <c r="D117" s="31"/>
      <c r="E117" s="31"/>
      <c r="F117" s="31"/>
      <c r="G117" s="31"/>
      <c r="H117" s="31"/>
      <c r="I117" s="32"/>
      <c r="J117" s="30"/>
      <c r="K117" s="30"/>
      <c r="L117" s="28" t="str">
        <f t="shared" si="4"/>
        <v/>
      </c>
      <c r="M117" s="28" t="str">
        <f t="shared" si="5"/>
        <v/>
      </c>
      <c r="N117" s="23" t="str">
        <f>IF(M117="","",IF(M117&gt;=Panduan!$B$4,"Terserap","Perlu Evaluasi"))</f>
        <v/>
      </c>
      <c r="O117" s="30"/>
      <c r="P117" s="30"/>
      <c r="Q117" s="28" t="str">
        <f t="shared" si="6"/>
        <v/>
      </c>
      <c r="R117" s="28" t="str">
        <f t="shared" si="7"/>
        <v/>
      </c>
      <c r="S117" s="23" t="str">
        <f>IF(R117="","",IF(R117&gt;=Panduan!$B$4,"Terserap","Perlu Evaluasi"))</f>
        <v/>
      </c>
      <c r="T117" s="30"/>
      <c r="U117" s="30"/>
      <c r="V117" s="28" t="str">
        <f t="shared" si="8"/>
        <v/>
      </c>
      <c r="W117" s="28" t="str">
        <f t="shared" si="9"/>
        <v/>
      </c>
      <c r="X117" s="23" t="str">
        <f>IF(W117="","",IF(W117&gt;=Panduan!$B$4,"Terserap","Perlu Evaluasi"))</f>
        <v/>
      </c>
      <c r="Y117" s="30"/>
      <c r="Z117" s="30"/>
      <c r="AA117" s="28" t="str">
        <f t="shared" si="10"/>
        <v/>
      </c>
      <c r="AB117" s="28" t="str">
        <f t="shared" si="11"/>
        <v/>
      </c>
      <c r="AC117" s="23" t="str">
        <f>IF(AB117="","",IF(AB117&gt;=Panduan!$B$4,"Terserap","Perlu Evaluasi"))</f>
        <v/>
      </c>
      <c r="AD117" s="30"/>
      <c r="AE117" s="30"/>
      <c r="AF117" s="28" t="str">
        <f t="shared" si="12"/>
        <v/>
      </c>
      <c r="AG117" s="28" t="str">
        <f t="shared" si="13"/>
        <v/>
      </c>
      <c r="AH117" s="23" t="str">
        <f>IF(AG117="","",IF(AG117&gt;=Panduan!$B$4,"Terserap","Perlu Evaluasi"))</f>
        <v/>
      </c>
      <c r="AI117" s="29" t="str">
        <f t="shared" ref="AI117:AJ117" si="126">IF(COUNTA(J117,O117,T117,Y117,AD117)=0,"",SUM(J117,O117,T117,Y117,AD117))</f>
        <v/>
      </c>
      <c r="AJ117" s="29" t="str">
        <f t="shared" si="126"/>
        <v/>
      </c>
      <c r="AK117" s="28" t="str">
        <f t="shared" si="15"/>
        <v/>
      </c>
      <c r="AL117" s="28" t="str">
        <f t="shared" si="16"/>
        <v/>
      </c>
      <c r="AM117" s="23" t="str">
        <f>IF(AL117="","",IF(AL117&gt;=Panduan!$B$4,"Terserap","Perlu Evaluasi"))</f>
        <v/>
      </c>
    </row>
    <row r="118" ht="15.75" customHeight="1">
      <c r="A118" s="23" t="str">
        <f t="shared" si="2"/>
        <v/>
      </c>
      <c r="B118" s="33"/>
      <c r="C118" s="23" t="str">
        <f t="shared" si="3"/>
        <v/>
      </c>
      <c r="D118" s="31"/>
      <c r="E118" s="31"/>
      <c r="F118" s="31"/>
      <c r="G118" s="31"/>
      <c r="H118" s="31"/>
      <c r="I118" s="32"/>
      <c r="J118" s="30"/>
      <c r="K118" s="30"/>
      <c r="L118" s="28" t="str">
        <f t="shared" si="4"/>
        <v/>
      </c>
      <c r="M118" s="28" t="str">
        <f t="shared" si="5"/>
        <v/>
      </c>
      <c r="N118" s="23" t="str">
        <f>IF(M118="","",IF(M118&gt;=Panduan!$B$4,"Terserap","Perlu Evaluasi"))</f>
        <v/>
      </c>
      <c r="O118" s="30"/>
      <c r="P118" s="30"/>
      <c r="Q118" s="28" t="str">
        <f t="shared" si="6"/>
        <v/>
      </c>
      <c r="R118" s="28" t="str">
        <f t="shared" si="7"/>
        <v/>
      </c>
      <c r="S118" s="23" t="str">
        <f>IF(R118="","",IF(R118&gt;=Panduan!$B$4,"Terserap","Perlu Evaluasi"))</f>
        <v/>
      </c>
      <c r="T118" s="30"/>
      <c r="U118" s="30"/>
      <c r="V118" s="28" t="str">
        <f t="shared" si="8"/>
        <v/>
      </c>
      <c r="W118" s="28" t="str">
        <f t="shared" si="9"/>
        <v/>
      </c>
      <c r="X118" s="23" t="str">
        <f>IF(W118="","",IF(W118&gt;=Panduan!$B$4,"Terserap","Perlu Evaluasi"))</f>
        <v/>
      </c>
      <c r="Y118" s="30"/>
      <c r="Z118" s="30"/>
      <c r="AA118" s="28" t="str">
        <f t="shared" si="10"/>
        <v/>
      </c>
      <c r="AB118" s="28" t="str">
        <f t="shared" si="11"/>
        <v/>
      </c>
      <c r="AC118" s="23" t="str">
        <f>IF(AB118="","",IF(AB118&gt;=Panduan!$B$4,"Terserap","Perlu Evaluasi"))</f>
        <v/>
      </c>
      <c r="AD118" s="30"/>
      <c r="AE118" s="30"/>
      <c r="AF118" s="28" t="str">
        <f t="shared" si="12"/>
        <v/>
      </c>
      <c r="AG118" s="28" t="str">
        <f t="shared" si="13"/>
        <v/>
      </c>
      <c r="AH118" s="23" t="str">
        <f>IF(AG118="","",IF(AG118&gt;=Panduan!$B$4,"Terserap","Perlu Evaluasi"))</f>
        <v/>
      </c>
      <c r="AI118" s="29" t="str">
        <f t="shared" ref="AI118:AJ118" si="127">IF(COUNTA(J118,O118,T118,Y118,AD118)=0,"",SUM(J118,O118,T118,Y118,AD118))</f>
        <v/>
      </c>
      <c r="AJ118" s="29" t="str">
        <f t="shared" si="127"/>
        <v/>
      </c>
      <c r="AK118" s="28" t="str">
        <f t="shared" si="15"/>
        <v/>
      </c>
      <c r="AL118" s="28" t="str">
        <f t="shared" si="16"/>
        <v/>
      </c>
      <c r="AM118" s="23" t="str">
        <f>IF(AL118="","",IF(AL118&gt;=Panduan!$B$4,"Terserap","Perlu Evaluasi"))</f>
        <v/>
      </c>
    </row>
    <row r="119" ht="15.75" customHeight="1">
      <c r="A119" s="23" t="str">
        <f t="shared" si="2"/>
        <v/>
      </c>
      <c r="B119" s="33"/>
      <c r="C119" s="23" t="str">
        <f t="shared" si="3"/>
        <v/>
      </c>
      <c r="D119" s="31"/>
      <c r="E119" s="31"/>
      <c r="F119" s="31"/>
      <c r="G119" s="31"/>
      <c r="H119" s="31"/>
      <c r="I119" s="32"/>
      <c r="J119" s="30"/>
      <c r="K119" s="30"/>
      <c r="L119" s="28" t="str">
        <f t="shared" si="4"/>
        <v/>
      </c>
      <c r="M119" s="28" t="str">
        <f t="shared" si="5"/>
        <v/>
      </c>
      <c r="N119" s="23" t="str">
        <f>IF(M119="","",IF(M119&gt;=Panduan!$B$4,"Terserap","Perlu Evaluasi"))</f>
        <v/>
      </c>
      <c r="O119" s="30"/>
      <c r="P119" s="30"/>
      <c r="Q119" s="28" t="str">
        <f t="shared" si="6"/>
        <v/>
      </c>
      <c r="R119" s="28" t="str">
        <f t="shared" si="7"/>
        <v/>
      </c>
      <c r="S119" s="23" t="str">
        <f>IF(R119="","",IF(R119&gt;=Panduan!$B$4,"Terserap","Perlu Evaluasi"))</f>
        <v/>
      </c>
      <c r="T119" s="30"/>
      <c r="U119" s="30"/>
      <c r="V119" s="28" t="str">
        <f t="shared" si="8"/>
        <v/>
      </c>
      <c r="W119" s="28" t="str">
        <f t="shared" si="9"/>
        <v/>
      </c>
      <c r="X119" s="23" t="str">
        <f>IF(W119="","",IF(W119&gt;=Panduan!$B$4,"Terserap","Perlu Evaluasi"))</f>
        <v/>
      </c>
      <c r="Y119" s="30"/>
      <c r="Z119" s="30"/>
      <c r="AA119" s="28" t="str">
        <f t="shared" si="10"/>
        <v/>
      </c>
      <c r="AB119" s="28" t="str">
        <f t="shared" si="11"/>
        <v/>
      </c>
      <c r="AC119" s="23" t="str">
        <f>IF(AB119="","",IF(AB119&gt;=Panduan!$B$4,"Terserap","Perlu Evaluasi"))</f>
        <v/>
      </c>
      <c r="AD119" s="30"/>
      <c r="AE119" s="30"/>
      <c r="AF119" s="28" t="str">
        <f t="shared" si="12"/>
        <v/>
      </c>
      <c r="AG119" s="28" t="str">
        <f t="shared" si="13"/>
        <v/>
      </c>
      <c r="AH119" s="23" t="str">
        <f>IF(AG119="","",IF(AG119&gt;=Panduan!$B$4,"Terserap","Perlu Evaluasi"))</f>
        <v/>
      </c>
      <c r="AI119" s="29" t="str">
        <f t="shared" ref="AI119:AJ119" si="128">IF(COUNTA(J119,O119,T119,Y119,AD119)=0,"",SUM(J119,O119,T119,Y119,AD119))</f>
        <v/>
      </c>
      <c r="AJ119" s="29" t="str">
        <f t="shared" si="128"/>
        <v/>
      </c>
      <c r="AK119" s="28" t="str">
        <f t="shared" si="15"/>
        <v/>
      </c>
      <c r="AL119" s="28" t="str">
        <f t="shared" si="16"/>
        <v/>
      </c>
      <c r="AM119" s="23" t="str">
        <f>IF(AL119="","",IF(AL119&gt;=Panduan!$B$4,"Terserap","Perlu Evaluasi"))</f>
        <v/>
      </c>
    </row>
    <row r="120" ht="15.75" customHeight="1">
      <c r="A120" s="23" t="str">
        <f t="shared" si="2"/>
        <v/>
      </c>
      <c r="B120" s="33"/>
      <c r="C120" s="23" t="str">
        <f t="shared" si="3"/>
        <v/>
      </c>
      <c r="D120" s="31"/>
      <c r="E120" s="31"/>
      <c r="F120" s="31"/>
      <c r="G120" s="31"/>
      <c r="H120" s="31"/>
      <c r="I120" s="32"/>
      <c r="J120" s="30"/>
      <c r="K120" s="30"/>
      <c r="L120" s="28" t="str">
        <f t="shared" si="4"/>
        <v/>
      </c>
      <c r="M120" s="28" t="str">
        <f t="shared" si="5"/>
        <v/>
      </c>
      <c r="N120" s="23" t="str">
        <f>IF(M120="","",IF(M120&gt;=Panduan!$B$4,"Terserap","Perlu Evaluasi"))</f>
        <v/>
      </c>
      <c r="O120" s="30"/>
      <c r="P120" s="30"/>
      <c r="Q120" s="28" t="str">
        <f t="shared" si="6"/>
        <v/>
      </c>
      <c r="R120" s="28" t="str">
        <f t="shared" si="7"/>
        <v/>
      </c>
      <c r="S120" s="23" t="str">
        <f>IF(R120="","",IF(R120&gt;=Panduan!$B$4,"Terserap","Perlu Evaluasi"))</f>
        <v/>
      </c>
      <c r="T120" s="30"/>
      <c r="U120" s="30"/>
      <c r="V120" s="28" t="str">
        <f t="shared" si="8"/>
        <v/>
      </c>
      <c r="W120" s="28" t="str">
        <f t="shared" si="9"/>
        <v/>
      </c>
      <c r="X120" s="23" t="str">
        <f>IF(W120="","",IF(W120&gt;=Panduan!$B$4,"Terserap","Perlu Evaluasi"))</f>
        <v/>
      </c>
      <c r="Y120" s="30"/>
      <c r="Z120" s="30"/>
      <c r="AA120" s="28" t="str">
        <f t="shared" si="10"/>
        <v/>
      </c>
      <c r="AB120" s="28" t="str">
        <f t="shared" si="11"/>
        <v/>
      </c>
      <c r="AC120" s="23" t="str">
        <f>IF(AB120="","",IF(AB120&gt;=Panduan!$B$4,"Terserap","Perlu Evaluasi"))</f>
        <v/>
      </c>
      <c r="AD120" s="30"/>
      <c r="AE120" s="30"/>
      <c r="AF120" s="28" t="str">
        <f t="shared" si="12"/>
        <v/>
      </c>
      <c r="AG120" s="28" t="str">
        <f t="shared" si="13"/>
        <v/>
      </c>
      <c r="AH120" s="23" t="str">
        <f>IF(AG120="","",IF(AG120&gt;=Panduan!$B$4,"Terserap","Perlu Evaluasi"))</f>
        <v/>
      </c>
      <c r="AI120" s="29" t="str">
        <f t="shared" ref="AI120:AJ120" si="129">IF(COUNTA(J120,O120,T120,Y120,AD120)=0,"",SUM(J120,O120,T120,Y120,AD120))</f>
        <v/>
      </c>
      <c r="AJ120" s="29" t="str">
        <f t="shared" si="129"/>
        <v/>
      </c>
      <c r="AK120" s="28" t="str">
        <f t="shared" si="15"/>
        <v/>
      </c>
      <c r="AL120" s="28" t="str">
        <f t="shared" si="16"/>
        <v/>
      </c>
      <c r="AM120" s="23" t="str">
        <f>IF(AL120="","",IF(AL120&gt;=Panduan!$B$4,"Terserap","Perlu Evaluasi"))</f>
        <v/>
      </c>
    </row>
    <row r="121" ht="15.75" customHeight="1">
      <c r="A121" s="23" t="str">
        <f t="shared" si="2"/>
        <v/>
      </c>
      <c r="B121" s="33"/>
      <c r="C121" s="23" t="str">
        <f t="shared" si="3"/>
        <v/>
      </c>
      <c r="D121" s="31"/>
      <c r="E121" s="31"/>
      <c r="F121" s="31"/>
      <c r="G121" s="31"/>
      <c r="H121" s="31"/>
      <c r="I121" s="32"/>
      <c r="J121" s="30"/>
      <c r="K121" s="30"/>
      <c r="L121" s="28" t="str">
        <f t="shared" si="4"/>
        <v/>
      </c>
      <c r="M121" s="28" t="str">
        <f t="shared" si="5"/>
        <v/>
      </c>
      <c r="N121" s="23" t="str">
        <f>IF(M121="","",IF(M121&gt;=Panduan!$B$4,"Terserap","Perlu Evaluasi"))</f>
        <v/>
      </c>
      <c r="O121" s="30"/>
      <c r="P121" s="30"/>
      <c r="Q121" s="28" t="str">
        <f t="shared" si="6"/>
        <v/>
      </c>
      <c r="R121" s="28" t="str">
        <f t="shared" si="7"/>
        <v/>
      </c>
      <c r="S121" s="23" t="str">
        <f>IF(R121="","",IF(R121&gt;=Panduan!$B$4,"Terserap","Perlu Evaluasi"))</f>
        <v/>
      </c>
      <c r="T121" s="30"/>
      <c r="U121" s="30"/>
      <c r="V121" s="28" t="str">
        <f t="shared" si="8"/>
        <v/>
      </c>
      <c r="W121" s="28" t="str">
        <f t="shared" si="9"/>
        <v/>
      </c>
      <c r="X121" s="23" t="str">
        <f>IF(W121="","",IF(W121&gt;=Panduan!$B$4,"Terserap","Perlu Evaluasi"))</f>
        <v/>
      </c>
      <c r="Y121" s="30"/>
      <c r="Z121" s="30"/>
      <c r="AA121" s="28" t="str">
        <f t="shared" si="10"/>
        <v/>
      </c>
      <c r="AB121" s="28" t="str">
        <f t="shared" si="11"/>
        <v/>
      </c>
      <c r="AC121" s="23" t="str">
        <f>IF(AB121="","",IF(AB121&gt;=Panduan!$B$4,"Terserap","Perlu Evaluasi"))</f>
        <v/>
      </c>
      <c r="AD121" s="30"/>
      <c r="AE121" s="30"/>
      <c r="AF121" s="28" t="str">
        <f t="shared" si="12"/>
        <v/>
      </c>
      <c r="AG121" s="28" t="str">
        <f t="shared" si="13"/>
        <v/>
      </c>
      <c r="AH121" s="23" t="str">
        <f>IF(AG121="","",IF(AG121&gt;=Panduan!$B$4,"Terserap","Perlu Evaluasi"))</f>
        <v/>
      </c>
      <c r="AI121" s="29" t="str">
        <f t="shared" ref="AI121:AJ121" si="130">IF(COUNTA(J121,O121,T121,Y121,AD121)=0,"",SUM(J121,O121,T121,Y121,AD121))</f>
        <v/>
      </c>
      <c r="AJ121" s="29" t="str">
        <f t="shared" si="130"/>
        <v/>
      </c>
      <c r="AK121" s="28" t="str">
        <f t="shared" si="15"/>
        <v/>
      </c>
      <c r="AL121" s="28" t="str">
        <f t="shared" si="16"/>
        <v/>
      </c>
      <c r="AM121" s="23" t="str">
        <f>IF(AL121="","",IF(AL121&gt;=Panduan!$B$4,"Terserap","Perlu Evaluasi"))</f>
        <v/>
      </c>
    </row>
    <row r="122" ht="15.75" customHeight="1">
      <c r="A122" s="23" t="str">
        <f t="shared" si="2"/>
        <v/>
      </c>
      <c r="B122" s="33"/>
      <c r="C122" s="23" t="str">
        <f t="shared" si="3"/>
        <v/>
      </c>
      <c r="D122" s="31"/>
      <c r="E122" s="31"/>
      <c r="F122" s="31"/>
      <c r="G122" s="31"/>
      <c r="H122" s="31"/>
      <c r="I122" s="32"/>
      <c r="J122" s="30"/>
      <c r="K122" s="30"/>
      <c r="L122" s="28" t="str">
        <f t="shared" si="4"/>
        <v/>
      </c>
      <c r="M122" s="28" t="str">
        <f t="shared" si="5"/>
        <v/>
      </c>
      <c r="N122" s="23" t="str">
        <f>IF(M122="","",IF(M122&gt;=Panduan!$B$4,"Terserap","Perlu Evaluasi"))</f>
        <v/>
      </c>
      <c r="O122" s="30"/>
      <c r="P122" s="30"/>
      <c r="Q122" s="28" t="str">
        <f t="shared" si="6"/>
        <v/>
      </c>
      <c r="R122" s="28" t="str">
        <f t="shared" si="7"/>
        <v/>
      </c>
      <c r="S122" s="23" t="str">
        <f>IF(R122="","",IF(R122&gt;=Panduan!$B$4,"Terserap","Perlu Evaluasi"))</f>
        <v/>
      </c>
      <c r="T122" s="30"/>
      <c r="U122" s="30"/>
      <c r="V122" s="28" t="str">
        <f t="shared" si="8"/>
        <v/>
      </c>
      <c r="W122" s="28" t="str">
        <f t="shared" si="9"/>
        <v/>
      </c>
      <c r="X122" s="23" t="str">
        <f>IF(W122="","",IF(W122&gt;=Panduan!$B$4,"Terserap","Perlu Evaluasi"))</f>
        <v/>
      </c>
      <c r="Y122" s="30"/>
      <c r="Z122" s="30"/>
      <c r="AA122" s="28" t="str">
        <f t="shared" si="10"/>
        <v/>
      </c>
      <c r="AB122" s="28" t="str">
        <f t="shared" si="11"/>
        <v/>
      </c>
      <c r="AC122" s="23" t="str">
        <f>IF(AB122="","",IF(AB122&gt;=Panduan!$B$4,"Terserap","Perlu Evaluasi"))</f>
        <v/>
      </c>
      <c r="AD122" s="30"/>
      <c r="AE122" s="30"/>
      <c r="AF122" s="28" t="str">
        <f t="shared" si="12"/>
        <v/>
      </c>
      <c r="AG122" s="28" t="str">
        <f t="shared" si="13"/>
        <v/>
      </c>
      <c r="AH122" s="23" t="str">
        <f>IF(AG122="","",IF(AG122&gt;=Panduan!$B$4,"Terserap","Perlu Evaluasi"))</f>
        <v/>
      </c>
      <c r="AI122" s="29" t="str">
        <f t="shared" ref="AI122:AJ122" si="131">IF(COUNTA(J122,O122,T122,Y122,AD122)=0,"",SUM(J122,O122,T122,Y122,AD122))</f>
        <v/>
      </c>
      <c r="AJ122" s="29" t="str">
        <f t="shared" si="131"/>
        <v/>
      </c>
      <c r="AK122" s="28" t="str">
        <f t="shared" si="15"/>
        <v/>
      </c>
      <c r="AL122" s="28" t="str">
        <f t="shared" si="16"/>
        <v/>
      </c>
      <c r="AM122" s="23" t="str">
        <f>IF(AL122="","",IF(AL122&gt;=Panduan!$B$4,"Terserap","Perlu Evaluasi"))</f>
        <v/>
      </c>
    </row>
    <row r="123" ht="15.75" customHeight="1">
      <c r="A123" s="23" t="str">
        <f t="shared" si="2"/>
        <v/>
      </c>
      <c r="B123" s="33"/>
      <c r="C123" s="23" t="str">
        <f t="shared" si="3"/>
        <v/>
      </c>
      <c r="D123" s="31"/>
      <c r="E123" s="31"/>
      <c r="F123" s="31"/>
      <c r="G123" s="31"/>
      <c r="H123" s="31"/>
      <c r="I123" s="32"/>
      <c r="J123" s="30"/>
      <c r="K123" s="30"/>
      <c r="L123" s="28" t="str">
        <f t="shared" si="4"/>
        <v/>
      </c>
      <c r="M123" s="28" t="str">
        <f t="shared" si="5"/>
        <v/>
      </c>
      <c r="N123" s="23" t="str">
        <f>IF(M123="","",IF(M123&gt;=Panduan!$B$4,"Terserap","Perlu Evaluasi"))</f>
        <v/>
      </c>
      <c r="O123" s="30"/>
      <c r="P123" s="30"/>
      <c r="Q123" s="28" t="str">
        <f t="shared" si="6"/>
        <v/>
      </c>
      <c r="R123" s="28" t="str">
        <f t="shared" si="7"/>
        <v/>
      </c>
      <c r="S123" s="23" t="str">
        <f>IF(R123="","",IF(R123&gt;=Panduan!$B$4,"Terserap","Perlu Evaluasi"))</f>
        <v/>
      </c>
      <c r="T123" s="30"/>
      <c r="U123" s="30"/>
      <c r="V123" s="28" t="str">
        <f t="shared" si="8"/>
        <v/>
      </c>
      <c r="W123" s="28" t="str">
        <f t="shared" si="9"/>
        <v/>
      </c>
      <c r="X123" s="23" t="str">
        <f>IF(W123="","",IF(W123&gt;=Panduan!$B$4,"Terserap","Perlu Evaluasi"))</f>
        <v/>
      </c>
      <c r="Y123" s="30"/>
      <c r="Z123" s="30"/>
      <c r="AA123" s="28" t="str">
        <f t="shared" si="10"/>
        <v/>
      </c>
      <c r="AB123" s="28" t="str">
        <f t="shared" si="11"/>
        <v/>
      </c>
      <c r="AC123" s="23" t="str">
        <f>IF(AB123="","",IF(AB123&gt;=Panduan!$B$4,"Terserap","Perlu Evaluasi"))</f>
        <v/>
      </c>
      <c r="AD123" s="30"/>
      <c r="AE123" s="30"/>
      <c r="AF123" s="28" t="str">
        <f t="shared" si="12"/>
        <v/>
      </c>
      <c r="AG123" s="28" t="str">
        <f t="shared" si="13"/>
        <v/>
      </c>
      <c r="AH123" s="23" t="str">
        <f>IF(AG123="","",IF(AG123&gt;=Panduan!$B$4,"Terserap","Perlu Evaluasi"))</f>
        <v/>
      </c>
      <c r="AI123" s="29" t="str">
        <f t="shared" ref="AI123:AJ123" si="132">IF(COUNTA(J123,O123,T123,Y123,AD123)=0,"",SUM(J123,O123,T123,Y123,AD123))</f>
        <v/>
      </c>
      <c r="AJ123" s="29" t="str">
        <f t="shared" si="132"/>
        <v/>
      </c>
      <c r="AK123" s="28" t="str">
        <f t="shared" si="15"/>
        <v/>
      </c>
      <c r="AL123" s="28" t="str">
        <f t="shared" si="16"/>
        <v/>
      </c>
      <c r="AM123" s="23" t="str">
        <f>IF(AL123="","",IF(AL123&gt;=Panduan!$B$4,"Terserap","Perlu Evaluasi"))</f>
        <v/>
      </c>
    </row>
    <row r="124" ht="15.75" customHeight="1">
      <c r="A124" s="23" t="str">
        <f t="shared" si="2"/>
        <v/>
      </c>
      <c r="B124" s="33"/>
      <c r="C124" s="23" t="str">
        <f t="shared" si="3"/>
        <v/>
      </c>
      <c r="D124" s="31"/>
      <c r="E124" s="31"/>
      <c r="F124" s="31"/>
      <c r="G124" s="31"/>
      <c r="H124" s="31"/>
      <c r="I124" s="32"/>
      <c r="J124" s="30"/>
      <c r="K124" s="30"/>
      <c r="L124" s="28" t="str">
        <f t="shared" si="4"/>
        <v/>
      </c>
      <c r="M124" s="28" t="str">
        <f t="shared" si="5"/>
        <v/>
      </c>
      <c r="N124" s="23" t="str">
        <f>IF(M124="","",IF(M124&gt;=Panduan!$B$4,"Terserap","Perlu Evaluasi"))</f>
        <v/>
      </c>
      <c r="O124" s="30"/>
      <c r="P124" s="30"/>
      <c r="Q124" s="28" t="str">
        <f t="shared" si="6"/>
        <v/>
      </c>
      <c r="R124" s="28" t="str">
        <f t="shared" si="7"/>
        <v/>
      </c>
      <c r="S124" s="23" t="str">
        <f>IF(R124="","",IF(R124&gt;=Panduan!$B$4,"Terserap","Perlu Evaluasi"))</f>
        <v/>
      </c>
      <c r="T124" s="30"/>
      <c r="U124" s="30"/>
      <c r="V124" s="28" t="str">
        <f t="shared" si="8"/>
        <v/>
      </c>
      <c r="W124" s="28" t="str">
        <f t="shared" si="9"/>
        <v/>
      </c>
      <c r="X124" s="23" t="str">
        <f>IF(W124="","",IF(W124&gt;=Panduan!$B$4,"Terserap","Perlu Evaluasi"))</f>
        <v/>
      </c>
      <c r="Y124" s="30"/>
      <c r="Z124" s="30"/>
      <c r="AA124" s="28" t="str">
        <f t="shared" si="10"/>
        <v/>
      </c>
      <c r="AB124" s="28" t="str">
        <f t="shared" si="11"/>
        <v/>
      </c>
      <c r="AC124" s="23" t="str">
        <f>IF(AB124="","",IF(AB124&gt;=Panduan!$B$4,"Terserap","Perlu Evaluasi"))</f>
        <v/>
      </c>
      <c r="AD124" s="30"/>
      <c r="AE124" s="30"/>
      <c r="AF124" s="28" t="str">
        <f t="shared" si="12"/>
        <v/>
      </c>
      <c r="AG124" s="28" t="str">
        <f t="shared" si="13"/>
        <v/>
      </c>
      <c r="AH124" s="23" t="str">
        <f>IF(AG124="","",IF(AG124&gt;=Panduan!$B$4,"Terserap","Perlu Evaluasi"))</f>
        <v/>
      </c>
      <c r="AI124" s="29" t="str">
        <f t="shared" ref="AI124:AJ124" si="133">IF(COUNTA(J124,O124,T124,Y124,AD124)=0,"",SUM(J124,O124,T124,Y124,AD124))</f>
        <v/>
      </c>
      <c r="AJ124" s="29" t="str">
        <f t="shared" si="133"/>
        <v/>
      </c>
      <c r="AK124" s="28" t="str">
        <f t="shared" si="15"/>
        <v/>
      </c>
      <c r="AL124" s="28" t="str">
        <f t="shared" si="16"/>
        <v/>
      </c>
      <c r="AM124" s="23" t="str">
        <f>IF(AL124="","",IF(AL124&gt;=Panduan!$B$4,"Terserap","Perlu Evaluasi"))</f>
        <v/>
      </c>
    </row>
    <row r="125" ht="15.75" customHeight="1">
      <c r="A125" s="23" t="str">
        <f t="shared" si="2"/>
        <v/>
      </c>
      <c r="B125" s="33"/>
      <c r="C125" s="23" t="str">
        <f t="shared" si="3"/>
        <v/>
      </c>
      <c r="D125" s="31"/>
      <c r="E125" s="31"/>
      <c r="F125" s="31"/>
      <c r="G125" s="31"/>
      <c r="H125" s="31"/>
      <c r="I125" s="32"/>
      <c r="J125" s="30"/>
      <c r="K125" s="30"/>
      <c r="L125" s="28" t="str">
        <f t="shared" si="4"/>
        <v/>
      </c>
      <c r="M125" s="28" t="str">
        <f t="shared" si="5"/>
        <v/>
      </c>
      <c r="N125" s="23" t="str">
        <f>IF(M125="","",IF(M125&gt;=Panduan!$B$4,"Terserap","Perlu Evaluasi"))</f>
        <v/>
      </c>
      <c r="O125" s="30"/>
      <c r="P125" s="30"/>
      <c r="Q125" s="28" t="str">
        <f t="shared" si="6"/>
        <v/>
      </c>
      <c r="R125" s="28" t="str">
        <f t="shared" si="7"/>
        <v/>
      </c>
      <c r="S125" s="23" t="str">
        <f>IF(R125="","",IF(R125&gt;=Panduan!$B$4,"Terserap","Perlu Evaluasi"))</f>
        <v/>
      </c>
      <c r="T125" s="30"/>
      <c r="U125" s="30"/>
      <c r="V125" s="28" t="str">
        <f t="shared" si="8"/>
        <v/>
      </c>
      <c r="W125" s="28" t="str">
        <f t="shared" si="9"/>
        <v/>
      </c>
      <c r="X125" s="23" t="str">
        <f>IF(W125="","",IF(W125&gt;=Panduan!$B$4,"Terserap","Perlu Evaluasi"))</f>
        <v/>
      </c>
      <c r="Y125" s="30"/>
      <c r="Z125" s="30"/>
      <c r="AA125" s="28" t="str">
        <f t="shared" si="10"/>
        <v/>
      </c>
      <c r="AB125" s="28" t="str">
        <f t="shared" si="11"/>
        <v/>
      </c>
      <c r="AC125" s="23" t="str">
        <f>IF(AB125="","",IF(AB125&gt;=Panduan!$B$4,"Terserap","Perlu Evaluasi"))</f>
        <v/>
      </c>
      <c r="AD125" s="30"/>
      <c r="AE125" s="30"/>
      <c r="AF125" s="28" t="str">
        <f t="shared" si="12"/>
        <v/>
      </c>
      <c r="AG125" s="28" t="str">
        <f t="shared" si="13"/>
        <v/>
      </c>
      <c r="AH125" s="23" t="str">
        <f>IF(AG125="","",IF(AG125&gt;=Panduan!$B$4,"Terserap","Perlu Evaluasi"))</f>
        <v/>
      </c>
      <c r="AI125" s="29" t="str">
        <f t="shared" ref="AI125:AJ125" si="134">IF(COUNTA(J125,O125,T125,Y125,AD125)=0,"",SUM(J125,O125,T125,Y125,AD125))</f>
        <v/>
      </c>
      <c r="AJ125" s="29" t="str">
        <f t="shared" si="134"/>
        <v/>
      </c>
      <c r="AK125" s="28" t="str">
        <f t="shared" si="15"/>
        <v/>
      </c>
      <c r="AL125" s="28" t="str">
        <f t="shared" si="16"/>
        <v/>
      </c>
      <c r="AM125" s="23" t="str">
        <f>IF(AL125="","",IF(AL125&gt;=Panduan!$B$4,"Terserap","Perlu Evaluasi"))</f>
        <v/>
      </c>
    </row>
    <row r="126" ht="15.75" customHeight="1">
      <c r="A126" s="23" t="str">
        <f t="shared" si="2"/>
        <v/>
      </c>
      <c r="B126" s="33"/>
      <c r="C126" s="23" t="str">
        <f t="shared" si="3"/>
        <v/>
      </c>
      <c r="D126" s="31"/>
      <c r="E126" s="31"/>
      <c r="F126" s="31"/>
      <c r="G126" s="31"/>
      <c r="H126" s="31"/>
      <c r="I126" s="32"/>
      <c r="J126" s="30"/>
      <c r="K126" s="30"/>
      <c r="L126" s="28" t="str">
        <f t="shared" si="4"/>
        <v/>
      </c>
      <c r="M126" s="28" t="str">
        <f t="shared" si="5"/>
        <v/>
      </c>
      <c r="N126" s="23" t="str">
        <f>IF(M126="","",IF(M126&gt;=Panduan!$B$4,"Terserap","Perlu Evaluasi"))</f>
        <v/>
      </c>
      <c r="O126" s="30"/>
      <c r="P126" s="30"/>
      <c r="Q126" s="28" t="str">
        <f t="shared" si="6"/>
        <v/>
      </c>
      <c r="R126" s="28" t="str">
        <f t="shared" si="7"/>
        <v/>
      </c>
      <c r="S126" s="23" t="str">
        <f>IF(R126="","",IF(R126&gt;=Panduan!$B$4,"Terserap","Perlu Evaluasi"))</f>
        <v/>
      </c>
      <c r="T126" s="30"/>
      <c r="U126" s="30"/>
      <c r="V126" s="28" t="str">
        <f t="shared" si="8"/>
        <v/>
      </c>
      <c r="W126" s="28" t="str">
        <f t="shared" si="9"/>
        <v/>
      </c>
      <c r="X126" s="23" t="str">
        <f>IF(W126="","",IF(W126&gt;=Panduan!$B$4,"Terserap","Perlu Evaluasi"))</f>
        <v/>
      </c>
      <c r="Y126" s="30"/>
      <c r="Z126" s="30"/>
      <c r="AA126" s="28" t="str">
        <f t="shared" si="10"/>
        <v/>
      </c>
      <c r="AB126" s="28" t="str">
        <f t="shared" si="11"/>
        <v/>
      </c>
      <c r="AC126" s="23" t="str">
        <f>IF(AB126="","",IF(AB126&gt;=Panduan!$B$4,"Terserap","Perlu Evaluasi"))</f>
        <v/>
      </c>
      <c r="AD126" s="30"/>
      <c r="AE126" s="30"/>
      <c r="AF126" s="28" t="str">
        <f t="shared" si="12"/>
        <v/>
      </c>
      <c r="AG126" s="28" t="str">
        <f t="shared" si="13"/>
        <v/>
      </c>
      <c r="AH126" s="23" t="str">
        <f>IF(AG126="","",IF(AG126&gt;=Panduan!$B$4,"Terserap","Perlu Evaluasi"))</f>
        <v/>
      </c>
      <c r="AI126" s="29" t="str">
        <f t="shared" ref="AI126:AJ126" si="135">IF(COUNTA(J126,O126,T126,Y126,AD126)=0,"",SUM(J126,O126,T126,Y126,AD126))</f>
        <v/>
      </c>
      <c r="AJ126" s="29" t="str">
        <f t="shared" si="135"/>
        <v/>
      </c>
      <c r="AK126" s="28" t="str">
        <f t="shared" si="15"/>
        <v/>
      </c>
      <c r="AL126" s="28" t="str">
        <f t="shared" si="16"/>
        <v/>
      </c>
      <c r="AM126" s="23" t="str">
        <f>IF(AL126="","",IF(AL126&gt;=Panduan!$B$4,"Terserap","Perlu Evaluasi"))</f>
        <v/>
      </c>
    </row>
    <row r="127" ht="15.75" customHeight="1">
      <c r="A127" s="23" t="str">
        <f t="shared" si="2"/>
        <v/>
      </c>
      <c r="B127" s="33"/>
      <c r="C127" s="23" t="str">
        <f t="shared" si="3"/>
        <v/>
      </c>
      <c r="D127" s="31"/>
      <c r="E127" s="31"/>
      <c r="F127" s="31"/>
      <c r="G127" s="31"/>
      <c r="H127" s="31"/>
      <c r="I127" s="32"/>
      <c r="J127" s="30"/>
      <c r="K127" s="30"/>
      <c r="L127" s="28" t="str">
        <f t="shared" si="4"/>
        <v/>
      </c>
      <c r="M127" s="28" t="str">
        <f t="shared" si="5"/>
        <v/>
      </c>
      <c r="N127" s="23" t="str">
        <f>IF(M127="","",IF(M127&gt;=Panduan!$B$4,"Terserap","Perlu Evaluasi"))</f>
        <v/>
      </c>
      <c r="O127" s="30"/>
      <c r="P127" s="30"/>
      <c r="Q127" s="28" t="str">
        <f t="shared" si="6"/>
        <v/>
      </c>
      <c r="R127" s="28" t="str">
        <f t="shared" si="7"/>
        <v/>
      </c>
      <c r="S127" s="23" t="str">
        <f>IF(R127="","",IF(R127&gt;=Panduan!$B$4,"Terserap","Perlu Evaluasi"))</f>
        <v/>
      </c>
      <c r="T127" s="30"/>
      <c r="U127" s="30"/>
      <c r="V127" s="28" t="str">
        <f t="shared" si="8"/>
        <v/>
      </c>
      <c r="W127" s="28" t="str">
        <f t="shared" si="9"/>
        <v/>
      </c>
      <c r="X127" s="23" t="str">
        <f>IF(W127="","",IF(W127&gt;=Panduan!$B$4,"Terserap","Perlu Evaluasi"))</f>
        <v/>
      </c>
      <c r="Y127" s="30"/>
      <c r="Z127" s="30"/>
      <c r="AA127" s="28" t="str">
        <f t="shared" si="10"/>
        <v/>
      </c>
      <c r="AB127" s="28" t="str">
        <f t="shared" si="11"/>
        <v/>
      </c>
      <c r="AC127" s="23" t="str">
        <f>IF(AB127="","",IF(AB127&gt;=Panduan!$B$4,"Terserap","Perlu Evaluasi"))</f>
        <v/>
      </c>
      <c r="AD127" s="30"/>
      <c r="AE127" s="30"/>
      <c r="AF127" s="28" t="str">
        <f t="shared" si="12"/>
        <v/>
      </c>
      <c r="AG127" s="28" t="str">
        <f t="shared" si="13"/>
        <v/>
      </c>
      <c r="AH127" s="23" t="str">
        <f>IF(AG127="","",IF(AG127&gt;=Panduan!$B$4,"Terserap","Perlu Evaluasi"))</f>
        <v/>
      </c>
      <c r="AI127" s="29" t="str">
        <f t="shared" ref="AI127:AJ127" si="136">IF(COUNTA(J127,O127,T127,Y127,AD127)=0,"",SUM(J127,O127,T127,Y127,AD127))</f>
        <v/>
      </c>
      <c r="AJ127" s="29" t="str">
        <f t="shared" si="136"/>
        <v/>
      </c>
      <c r="AK127" s="28" t="str">
        <f t="shared" si="15"/>
        <v/>
      </c>
      <c r="AL127" s="28" t="str">
        <f t="shared" si="16"/>
        <v/>
      </c>
      <c r="AM127" s="23" t="str">
        <f>IF(AL127="","",IF(AL127&gt;=Panduan!$B$4,"Terserap","Perlu Evaluasi"))</f>
        <v/>
      </c>
    </row>
    <row r="128" ht="15.75" customHeight="1">
      <c r="A128" s="23" t="str">
        <f t="shared" si="2"/>
        <v/>
      </c>
      <c r="B128" s="33"/>
      <c r="C128" s="23" t="str">
        <f t="shared" si="3"/>
        <v/>
      </c>
      <c r="D128" s="31"/>
      <c r="E128" s="31"/>
      <c r="F128" s="31"/>
      <c r="G128" s="31"/>
      <c r="H128" s="31"/>
      <c r="I128" s="32"/>
      <c r="J128" s="30"/>
      <c r="K128" s="30"/>
      <c r="L128" s="28" t="str">
        <f t="shared" si="4"/>
        <v/>
      </c>
      <c r="M128" s="28" t="str">
        <f t="shared" si="5"/>
        <v/>
      </c>
      <c r="N128" s="23" t="str">
        <f>IF(M128="","",IF(M128&gt;=Panduan!$B$4,"Terserap","Perlu Evaluasi"))</f>
        <v/>
      </c>
      <c r="O128" s="30"/>
      <c r="P128" s="30"/>
      <c r="Q128" s="28" t="str">
        <f t="shared" si="6"/>
        <v/>
      </c>
      <c r="R128" s="28" t="str">
        <f t="shared" si="7"/>
        <v/>
      </c>
      <c r="S128" s="23" t="str">
        <f>IF(R128="","",IF(R128&gt;=Panduan!$B$4,"Terserap","Perlu Evaluasi"))</f>
        <v/>
      </c>
      <c r="T128" s="30"/>
      <c r="U128" s="30"/>
      <c r="V128" s="28" t="str">
        <f t="shared" si="8"/>
        <v/>
      </c>
      <c r="W128" s="28" t="str">
        <f t="shared" si="9"/>
        <v/>
      </c>
      <c r="X128" s="23" t="str">
        <f>IF(W128="","",IF(W128&gt;=Panduan!$B$4,"Terserap","Perlu Evaluasi"))</f>
        <v/>
      </c>
      <c r="Y128" s="30"/>
      <c r="Z128" s="30"/>
      <c r="AA128" s="28" t="str">
        <f t="shared" si="10"/>
        <v/>
      </c>
      <c r="AB128" s="28" t="str">
        <f t="shared" si="11"/>
        <v/>
      </c>
      <c r="AC128" s="23" t="str">
        <f>IF(AB128="","",IF(AB128&gt;=Panduan!$B$4,"Terserap","Perlu Evaluasi"))</f>
        <v/>
      </c>
      <c r="AD128" s="30"/>
      <c r="AE128" s="30"/>
      <c r="AF128" s="28" t="str">
        <f t="shared" si="12"/>
        <v/>
      </c>
      <c r="AG128" s="28" t="str">
        <f t="shared" si="13"/>
        <v/>
      </c>
      <c r="AH128" s="23" t="str">
        <f>IF(AG128="","",IF(AG128&gt;=Panduan!$B$4,"Terserap","Perlu Evaluasi"))</f>
        <v/>
      </c>
      <c r="AI128" s="29" t="str">
        <f t="shared" ref="AI128:AJ128" si="137">IF(COUNTA(J128,O128,T128,Y128,AD128)=0,"",SUM(J128,O128,T128,Y128,AD128))</f>
        <v/>
      </c>
      <c r="AJ128" s="29" t="str">
        <f t="shared" si="137"/>
        <v/>
      </c>
      <c r="AK128" s="28" t="str">
        <f t="shared" si="15"/>
        <v/>
      </c>
      <c r="AL128" s="28" t="str">
        <f t="shared" si="16"/>
        <v/>
      </c>
      <c r="AM128" s="23" t="str">
        <f>IF(AL128="","",IF(AL128&gt;=Panduan!$B$4,"Terserap","Perlu Evaluasi"))</f>
        <v/>
      </c>
    </row>
    <row r="129" ht="15.75" customHeight="1">
      <c r="A129" s="23" t="str">
        <f t="shared" si="2"/>
        <v/>
      </c>
      <c r="B129" s="33"/>
      <c r="C129" s="23" t="str">
        <f t="shared" si="3"/>
        <v/>
      </c>
      <c r="D129" s="31"/>
      <c r="E129" s="31"/>
      <c r="F129" s="31"/>
      <c r="G129" s="31"/>
      <c r="H129" s="31"/>
      <c r="I129" s="32"/>
      <c r="J129" s="30"/>
      <c r="K129" s="30"/>
      <c r="L129" s="28" t="str">
        <f t="shared" si="4"/>
        <v/>
      </c>
      <c r="M129" s="28" t="str">
        <f t="shared" si="5"/>
        <v/>
      </c>
      <c r="N129" s="23" t="str">
        <f>IF(M129="","",IF(M129&gt;=Panduan!$B$4,"Terserap","Perlu Evaluasi"))</f>
        <v/>
      </c>
      <c r="O129" s="30"/>
      <c r="P129" s="30"/>
      <c r="Q129" s="28" t="str">
        <f t="shared" si="6"/>
        <v/>
      </c>
      <c r="R129" s="28" t="str">
        <f t="shared" si="7"/>
        <v/>
      </c>
      <c r="S129" s="23" t="str">
        <f>IF(R129="","",IF(R129&gt;=Panduan!$B$4,"Terserap","Perlu Evaluasi"))</f>
        <v/>
      </c>
      <c r="T129" s="30"/>
      <c r="U129" s="30"/>
      <c r="V129" s="28" t="str">
        <f t="shared" si="8"/>
        <v/>
      </c>
      <c r="W129" s="28" t="str">
        <f t="shared" si="9"/>
        <v/>
      </c>
      <c r="X129" s="23" t="str">
        <f>IF(W129="","",IF(W129&gt;=Panduan!$B$4,"Terserap","Perlu Evaluasi"))</f>
        <v/>
      </c>
      <c r="Y129" s="30"/>
      <c r="Z129" s="30"/>
      <c r="AA129" s="28" t="str">
        <f t="shared" si="10"/>
        <v/>
      </c>
      <c r="AB129" s="28" t="str">
        <f t="shared" si="11"/>
        <v/>
      </c>
      <c r="AC129" s="23" t="str">
        <f>IF(AB129="","",IF(AB129&gt;=Panduan!$B$4,"Terserap","Perlu Evaluasi"))</f>
        <v/>
      </c>
      <c r="AD129" s="30"/>
      <c r="AE129" s="30"/>
      <c r="AF129" s="28" t="str">
        <f t="shared" si="12"/>
        <v/>
      </c>
      <c r="AG129" s="28" t="str">
        <f t="shared" si="13"/>
        <v/>
      </c>
      <c r="AH129" s="23" t="str">
        <f>IF(AG129="","",IF(AG129&gt;=Panduan!$B$4,"Terserap","Perlu Evaluasi"))</f>
        <v/>
      </c>
      <c r="AI129" s="29" t="str">
        <f t="shared" ref="AI129:AJ129" si="138">IF(COUNTA(J129,O129,T129,Y129,AD129)=0,"",SUM(J129,O129,T129,Y129,AD129))</f>
        <v/>
      </c>
      <c r="AJ129" s="29" t="str">
        <f t="shared" si="138"/>
        <v/>
      </c>
      <c r="AK129" s="28" t="str">
        <f t="shared" si="15"/>
        <v/>
      </c>
      <c r="AL129" s="28" t="str">
        <f t="shared" si="16"/>
        <v/>
      </c>
      <c r="AM129" s="23" t="str">
        <f>IF(AL129="","",IF(AL129&gt;=Panduan!$B$4,"Terserap","Perlu Evaluasi"))</f>
        <v/>
      </c>
    </row>
    <row r="130" ht="15.75" customHeight="1">
      <c r="A130" s="23" t="str">
        <f t="shared" si="2"/>
        <v/>
      </c>
      <c r="B130" s="33"/>
      <c r="C130" s="23" t="str">
        <f t="shared" si="3"/>
        <v/>
      </c>
      <c r="D130" s="31"/>
      <c r="E130" s="31"/>
      <c r="F130" s="31"/>
      <c r="G130" s="31"/>
      <c r="H130" s="31"/>
      <c r="I130" s="32"/>
      <c r="J130" s="30"/>
      <c r="K130" s="30"/>
      <c r="L130" s="28" t="str">
        <f t="shared" si="4"/>
        <v/>
      </c>
      <c r="M130" s="28" t="str">
        <f t="shared" si="5"/>
        <v/>
      </c>
      <c r="N130" s="23" t="str">
        <f>IF(M130="","",IF(M130&gt;=Panduan!$B$4,"Terserap","Perlu Evaluasi"))</f>
        <v/>
      </c>
      <c r="O130" s="30"/>
      <c r="P130" s="30"/>
      <c r="Q130" s="28" t="str">
        <f t="shared" si="6"/>
        <v/>
      </c>
      <c r="R130" s="28" t="str">
        <f t="shared" si="7"/>
        <v/>
      </c>
      <c r="S130" s="23" t="str">
        <f>IF(R130="","",IF(R130&gt;=Panduan!$B$4,"Terserap","Perlu Evaluasi"))</f>
        <v/>
      </c>
      <c r="T130" s="30"/>
      <c r="U130" s="30"/>
      <c r="V130" s="28" t="str">
        <f t="shared" si="8"/>
        <v/>
      </c>
      <c r="W130" s="28" t="str">
        <f t="shared" si="9"/>
        <v/>
      </c>
      <c r="X130" s="23" t="str">
        <f>IF(W130="","",IF(W130&gt;=Panduan!$B$4,"Terserap","Perlu Evaluasi"))</f>
        <v/>
      </c>
      <c r="Y130" s="30"/>
      <c r="Z130" s="30"/>
      <c r="AA130" s="28" t="str">
        <f t="shared" si="10"/>
        <v/>
      </c>
      <c r="AB130" s="28" t="str">
        <f t="shared" si="11"/>
        <v/>
      </c>
      <c r="AC130" s="23" t="str">
        <f>IF(AB130="","",IF(AB130&gt;=Panduan!$B$4,"Terserap","Perlu Evaluasi"))</f>
        <v/>
      </c>
      <c r="AD130" s="30"/>
      <c r="AE130" s="30"/>
      <c r="AF130" s="28" t="str">
        <f t="shared" si="12"/>
        <v/>
      </c>
      <c r="AG130" s="28" t="str">
        <f t="shared" si="13"/>
        <v/>
      </c>
      <c r="AH130" s="23" t="str">
        <f>IF(AG130="","",IF(AG130&gt;=Panduan!$B$4,"Terserap","Perlu Evaluasi"))</f>
        <v/>
      </c>
      <c r="AI130" s="29" t="str">
        <f t="shared" ref="AI130:AJ130" si="139">IF(COUNTA(J130,O130,T130,Y130,AD130)=0,"",SUM(J130,O130,T130,Y130,AD130))</f>
        <v/>
      </c>
      <c r="AJ130" s="29" t="str">
        <f t="shared" si="139"/>
        <v/>
      </c>
      <c r="AK130" s="28" t="str">
        <f t="shared" si="15"/>
        <v/>
      </c>
      <c r="AL130" s="28" t="str">
        <f t="shared" si="16"/>
        <v/>
      </c>
      <c r="AM130" s="23" t="str">
        <f>IF(AL130="","",IF(AL130&gt;=Panduan!$B$4,"Terserap","Perlu Evaluasi"))</f>
        <v/>
      </c>
    </row>
    <row r="131" ht="15.75" customHeight="1">
      <c r="A131" s="23" t="str">
        <f t="shared" si="2"/>
        <v/>
      </c>
      <c r="B131" s="33"/>
      <c r="C131" s="23" t="str">
        <f t="shared" si="3"/>
        <v/>
      </c>
      <c r="D131" s="31"/>
      <c r="E131" s="31"/>
      <c r="F131" s="31"/>
      <c r="G131" s="31"/>
      <c r="H131" s="31"/>
      <c r="I131" s="32"/>
      <c r="J131" s="30"/>
      <c r="K131" s="30"/>
      <c r="L131" s="28" t="str">
        <f t="shared" si="4"/>
        <v/>
      </c>
      <c r="M131" s="28" t="str">
        <f t="shared" si="5"/>
        <v/>
      </c>
      <c r="N131" s="23" t="str">
        <f>IF(M131="","",IF(M131&gt;=Panduan!$B$4,"Terserap","Perlu Evaluasi"))</f>
        <v/>
      </c>
      <c r="O131" s="30"/>
      <c r="P131" s="30"/>
      <c r="Q131" s="28" t="str">
        <f t="shared" si="6"/>
        <v/>
      </c>
      <c r="R131" s="28" t="str">
        <f t="shared" si="7"/>
        <v/>
      </c>
      <c r="S131" s="23" t="str">
        <f>IF(R131="","",IF(R131&gt;=Panduan!$B$4,"Terserap","Perlu Evaluasi"))</f>
        <v/>
      </c>
      <c r="T131" s="30"/>
      <c r="U131" s="30"/>
      <c r="V131" s="28" t="str">
        <f t="shared" si="8"/>
        <v/>
      </c>
      <c r="W131" s="28" t="str">
        <f t="shared" si="9"/>
        <v/>
      </c>
      <c r="X131" s="23" t="str">
        <f>IF(W131="","",IF(W131&gt;=Panduan!$B$4,"Terserap","Perlu Evaluasi"))</f>
        <v/>
      </c>
      <c r="Y131" s="30"/>
      <c r="Z131" s="30"/>
      <c r="AA131" s="28" t="str">
        <f t="shared" si="10"/>
        <v/>
      </c>
      <c r="AB131" s="28" t="str">
        <f t="shared" si="11"/>
        <v/>
      </c>
      <c r="AC131" s="23" t="str">
        <f>IF(AB131="","",IF(AB131&gt;=Panduan!$B$4,"Terserap","Perlu Evaluasi"))</f>
        <v/>
      </c>
      <c r="AD131" s="30"/>
      <c r="AE131" s="30"/>
      <c r="AF131" s="28" t="str">
        <f t="shared" si="12"/>
        <v/>
      </c>
      <c r="AG131" s="28" t="str">
        <f t="shared" si="13"/>
        <v/>
      </c>
      <c r="AH131" s="23" t="str">
        <f>IF(AG131="","",IF(AG131&gt;=Panduan!$B$4,"Terserap","Perlu Evaluasi"))</f>
        <v/>
      </c>
      <c r="AI131" s="29" t="str">
        <f t="shared" ref="AI131:AJ131" si="140">IF(COUNTA(J131,O131,T131,Y131,AD131)=0,"",SUM(J131,O131,T131,Y131,AD131))</f>
        <v/>
      </c>
      <c r="AJ131" s="29" t="str">
        <f t="shared" si="140"/>
        <v/>
      </c>
      <c r="AK131" s="28" t="str">
        <f t="shared" si="15"/>
        <v/>
      </c>
      <c r="AL131" s="28" t="str">
        <f t="shared" si="16"/>
        <v/>
      </c>
      <c r="AM131" s="23" t="str">
        <f>IF(AL131="","",IF(AL131&gt;=Panduan!$B$4,"Terserap","Perlu Evaluasi"))</f>
        <v/>
      </c>
    </row>
    <row r="132" ht="15.75" customHeight="1">
      <c r="A132" s="23" t="str">
        <f t="shared" si="2"/>
        <v/>
      </c>
      <c r="B132" s="33"/>
      <c r="C132" s="23" t="str">
        <f t="shared" si="3"/>
        <v/>
      </c>
      <c r="D132" s="31"/>
      <c r="E132" s="31"/>
      <c r="F132" s="31"/>
      <c r="G132" s="31"/>
      <c r="H132" s="31"/>
      <c r="I132" s="32"/>
      <c r="J132" s="30"/>
      <c r="K132" s="30"/>
      <c r="L132" s="28" t="str">
        <f t="shared" si="4"/>
        <v/>
      </c>
      <c r="M132" s="28" t="str">
        <f t="shared" si="5"/>
        <v/>
      </c>
      <c r="N132" s="23" t="str">
        <f>IF(M132="","",IF(M132&gt;=Panduan!$B$4,"Terserap","Perlu Evaluasi"))</f>
        <v/>
      </c>
      <c r="O132" s="30"/>
      <c r="P132" s="30"/>
      <c r="Q132" s="28" t="str">
        <f t="shared" si="6"/>
        <v/>
      </c>
      <c r="R132" s="28" t="str">
        <f t="shared" si="7"/>
        <v/>
      </c>
      <c r="S132" s="23" t="str">
        <f>IF(R132="","",IF(R132&gt;=Panduan!$B$4,"Terserap","Perlu Evaluasi"))</f>
        <v/>
      </c>
      <c r="T132" s="30"/>
      <c r="U132" s="30"/>
      <c r="V132" s="28" t="str">
        <f t="shared" si="8"/>
        <v/>
      </c>
      <c r="W132" s="28" t="str">
        <f t="shared" si="9"/>
        <v/>
      </c>
      <c r="X132" s="23" t="str">
        <f>IF(W132="","",IF(W132&gt;=Panduan!$B$4,"Terserap","Perlu Evaluasi"))</f>
        <v/>
      </c>
      <c r="Y132" s="30"/>
      <c r="Z132" s="30"/>
      <c r="AA132" s="28" t="str">
        <f t="shared" si="10"/>
        <v/>
      </c>
      <c r="AB132" s="28" t="str">
        <f t="shared" si="11"/>
        <v/>
      </c>
      <c r="AC132" s="23" t="str">
        <f>IF(AB132="","",IF(AB132&gt;=Panduan!$B$4,"Terserap","Perlu Evaluasi"))</f>
        <v/>
      </c>
      <c r="AD132" s="30"/>
      <c r="AE132" s="30"/>
      <c r="AF132" s="28" t="str">
        <f t="shared" si="12"/>
        <v/>
      </c>
      <c r="AG132" s="28" t="str">
        <f t="shared" si="13"/>
        <v/>
      </c>
      <c r="AH132" s="23" t="str">
        <f>IF(AG132="","",IF(AG132&gt;=Panduan!$B$4,"Terserap","Perlu Evaluasi"))</f>
        <v/>
      </c>
      <c r="AI132" s="29" t="str">
        <f t="shared" ref="AI132:AJ132" si="141">IF(COUNTA(J132,O132,T132,Y132,AD132)=0,"",SUM(J132,O132,T132,Y132,AD132))</f>
        <v/>
      </c>
      <c r="AJ132" s="29" t="str">
        <f t="shared" si="141"/>
        <v/>
      </c>
      <c r="AK132" s="28" t="str">
        <f t="shared" si="15"/>
        <v/>
      </c>
      <c r="AL132" s="28" t="str">
        <f t="shared" si="16"/>
        <v/>
      </c>
      <c r="AM132" s="23" t="str">
        <f>IF(AL132="","",IF(AL132&gt;=Panduan!$B$4,"Terserap","Perlu Evaluasi"))</f>
        <v/>
      </c>
    </row>
    <row r="133" ht="15.75" customHeight="1">
      <c r="A133" s="23" t="str">
        <f t="shared" si="2"/>
        <v/>
      </c>
      <c r="B133" s="33"/>
      <c r="C133" s="23" t="str">
        <f t="shared" si="3"/>
        <v/>
      </c>
      <c r="D133" s="31"/>
      <c r="E133" s="31"/>
      <c r="F133" s="31"/>
      <c r="G133" s="31"/>
      <c r="H133" s="31"/>
      <c r="I133" s="32"/>
      <c r="J133" s="30"/>
      <c r="K133" s="30"/>
      <c r="L133" s="28" t="str">
        <f t="shared" si="4"/>
        <v/>
      </c>
      <c r="M133" s="28" t="str">
        <f t="shared" si="5"/>
        <v/>
      </c>
      <c r="N133" s="23" t="str">
        <f>IF(M133="","",IF(M133&gt;=Panduan!$B$4,"Terserap","Perlu Evaluasi"))</f>
        <v/>
      </c>
      <c r="O133" s="30"/>
      <c r="P133" s="30"/>
      <c r="Q133" s="28" t="str">
        <f t="shared" si="6"/>
        <v/>
      </c>
      <c r="R133" s="28" t="str">
        <f t="shared" si="7"/>
        <v/>
      </c>
      <c r="S133" s="23" t="str">
        <f>IF(R133="","",IF(R133&gt;=Panduan!$B$4,"Terserap","Perlu Evaluasi"))</f>
        <v/>
      </c>
      <c r="T133" s="30"/>
      <c r="U133" s="30"/>
      <c r="V133" s="28" t="str">
        <f t="shared" si="8"/>
        <v/>
      </c>
      <c r="W133" s="28" t="str">
        <f t="shared" si="9"/>
        <v/>
      </c>
      <c r="X133" s="23" t="str">
        <f>IF(W133="","",IF(W133&gt;=Panduan!$B$4,"Terserap","Perlu Evaluasi"))</f>
        <v/>
      </c>
      <c r="Y133" s="30"/>
      <c r="Z133" s="30"/>
      <c r="AA133" s="28" t="str">
        <f t="shared" si="10"/>
        <v/>
      </c>
      <c r="AB133" s="28" t="str">
        <f t="shared" si="11"/>
        <v/>
      </c>
      <c r="AC133" s="23" t="str">
        <f>IF(AB133="","",IF(AB133&gt;=Panduan!$B$4,"Terserap","Perlu Evaluasi"))</f>
        <v/>
      </c>
      <c r="AD133" s="30"/>
      <c r="AE133" s="30"/>
      <c r="AF133" s="28" t="str">
        <f t="shared" si="12"/>
        <v/>
      </c>
      <c r="AG133" s="28" t="str">
        <f t="shared" si="13"/>
        <v/>
      </c>
      <c r="AH133" s="23" t="str">
        <f>IF(AG133="","",IF(AG133&gt;=Panduan!$B$4,"Terserap","Perlu Evaluasi"))</f>
        <v/>
      </c>
      <c r="AI133" s="29" t="str">
        <f t="shared" ref="AI133:AJ133" si="142">IF(COUNTA(J133,O133,T133,Y133,AD133)=0,"",SUM(J133,O133,T133,Y133,AD133))</f>
        <v/>
      </c>
      <c r="AJ133" s="29" t="str">
        <f t="shared" si="142"/>
        <v/>
      </c>
      <c r="AK133" s="28" t="str">
        <f t="shared" si="15"/>
        <v/>
      </c>
      <c r="AL133" s="28" t="str">
        <f t="shared" si="16"/>
        <v/>
      </c>
      <c r="AM133" s="23" t="str">
        <f>IF(AL133="","",IF(AL133&gt;=Panduan!$B$4,"Terserap","Perlu Evaluasi"))</f>
        <v/>
      </c>
    </row>
    <row r="134" ht="15.75" customHeight="1">
      <c r="A134" s="23" t="str">
        <f t="shared" si="2"/>
        <v/>
      </c>
      <c r="B134" s="33"/>
      <c r="C134" s="23" t="str">
        <f t="shared" si="3"/>
        <v/>
      </c>
      <c r="D134" s="31"/>
      <c r="E134" s="31"/>
      <c r="F134" s="31"/>
      <c r="G134" s="31"/>
      <c r="H134" s="31"/>
      <c r="I134" s="32"/>
      <c r="J134" s="30"/>
      <c r="K134" s="30"/>
      <c r="L134" s="28" t="str">
        <f t="shared" si="4"/>
        <v/>
      </c>
      <c r="M134" s="28" t="str">
        <f t="shared" si="5"/>
        <v/>
      </c>
      <c r="N134" s="23" t="str">
        <f>IF(M134="","",IF(M134&gt;=Panduan!$B$4,"Terserap","Perlu Evaluasi"))</f>
        <v/>
      </c>
      <c r="O134" s="30"/>
      <c r="P134" s="30"/>
      <c r="Q134" s="28" t="str">
        <f t="shared" si="6"/>
        <v/>
      </c>
      <c r="R134" s="28" t="str">
        <f t="shared" si="7"/>
        <v/>
      </c>
      <c r="S134" s="23" t="str">
        <f>IF(R134="","",IF(R134&gt;=Panduan!$B$4,"Terserap","Perlu Evaluasi"))</f>
        <v/>
      </c>
      <c r="T134" s="30"/>
      <c r="U134" s="30"/>
      <c r="V134" s="28" t="str">
        <f t="shared" si="8"/>
        <v/>
      </c>
      <c r="W134" s="28" t="str">
        <f t="shared" si="9"/>
        <v/>
      </c>
      <c r="X134" s="23" t="str">
        <f>IF(W134="","",IF(W134&gt;=Panduan!$B$4,"Terserap","Perlu Evaluasi"))</f>
        <v/>
      </c>
      <c r="Y134" s="30"/>
      <c r="Z134" s="30"/>
      <c r="AA134" s="28" t="str">
        <f t="shared" si="10"/>
        <v/>
      </c>
      <c r="AB134" s="28" t="str">
        <f t="shared" si="11"/>
        <v/>
      </c>
      <c r="AC134" s="23" t="str">
        <f>IF(AB134="","",IF(AB134&gt;=Panduan!$B$4,"Terserap","Perlu Evaluasi"))</f>
        <v/>
      </c>
      <c r="AD134" s="30"/>
      <c r="AE134" s="30"/>
      <c r="AF134" s="28" t="str">
        <f t="shared" si="12"/>
        <v/>
      </c>
      <c r="AG134" s="28" t="str">
        <f t="shared" si="13"/>
        <v/>
      </c>
      <c r="AH134" s="23" t="str">
        <f>IF(AG134="","",IF(AG134&gt;=Panduan!$B$4,"Terserap","Perlu Evaluasi"))</f>
        <v/>
      </c>
      <c r="AI134" s="29" t="str">
        <f t="shared" ref="AI134:AJ134" si="143">IF(COUNTA(J134,O134,T134,Y134,AD134)=0,"",SUM(J134,O134,T134,Y134,AD134))</f>
        <v/>
      </c>
      <c r="AJ134" s="29" t="str">
        <f t="shared" si="143"/>
        <v/>
      </c>
      <c r="AK134" s="28" t="str">
        <f t="shared" si="15"/>
        <v/>
      </c>
      <c r="AL134" s="28" t="str">
        <f t="shared" si="16"/>
        <v/>
      </c>
      <c r="AM134" s="23" t="str">
        <f>IF(AL134="","",IF(AL134&gt;=Panduan!$B$4,"Terserap","Perlu Evaluasi"))</f>
        <v/>
      </c>
    </row>
    <row r="135" ht="15.75" customHeight="1">
      <c r="A135" s="23" t="str">
        <f t="shared" si="2"/>
        <v/>
      </c>
      <c r="B135" s="33"/>
      <c r="C135" s="23" t="str">
        <f t="shared" si="3"/>
        <v/>
      </c>
      <c r="D135" s="31"/>
      <c r="E135" s="31"/>
      <c r="F135" s="31"/>
      <c r="G135" s="31"/>
      <c r="H135" s="31"/>
      <c r="I135" s="32"/>
      <c r="J135" s="30"/>
      <c r="K135" s="30"/>
      <c r="L135" s="28" t="str">
        <f t="shared" si="4"/>
        <v/>
      </c>
      <c r="M135" s="28" t="str">
        <f t="shared" si="5"/>
        <v/>
      </c>
      <c r="N135" s="23" t="str">
        <f>IF(M135="","",IF(M135&gt;=Panduan!$B$4,"Terserap","Perlu Evaluasi"))</f>
        <v/>
      </c>
      <c r="O135" s="30"/>
      <c r="P135" s="30"/>
      <c r="Q135" s="28" t="str">
        <f t="shared" si="6"/>
        <v/>
      </c>
      <c r="R135" s="28" t="str">
        <f t="shared" si="7"/>
        <v/>
      </c>
      <c r="S135" s="23" t="str">
        <f>IF(R135="","",IF(R135&gt;=Panduan!$B$4,"Terserap","Perlu Evaluasi"))</f>
        <v/>
      </c>
      <c r="T135" s="30"/>
      <c r="U135" s="30"/>
      <c r="V135" s="28" t="str">
        <f t="shared" si="8"/>
        <v/>
      </c>
      <c r="W135" s="28" t="str">
        <f t="shared" si="9"/>
        <v/>
      </c>
      <c r="X135" s="23" t="str">
        <f>IF(W135="","",IF(W135&gt;=Panduan!$B$4,"Terserap","Perlu Evaluasi"))</f>
        <v/>
      </c>
      <c r="Y135" s="30"/>
      <c r="Z135" s="30"/>
      <c r="AA135" s="28" t="str">
        <f t="shared" si="10"/>
        <v/>
      </c>
      <c r="AB135" s="28" t="str">
        <f t="shared" si="11"/>
        <v/>
      </c>
      <c r="AC135" s="23" t="str">
        <f>IF(AB135="","",IF(AB135&gt;=Panduan!$B$4,"Terserap","Perlu Evaluasi"))</f>
        <v/>
      </c>
      <c r="AD135" s="30"/>
      <c r="AE135" s="30"/>
      <c r="AF135" s="28" t="str">
        <f t="shared" si="12"/>
        <v/>
      </c>
      <c r="AG135" s="28" t="str">
        <f t="shared" si="13"/>
        <v/>
      </c>
      <c r="AH135" s="23" t="str">
        <f>IF(AG135="","",IF(AG135&gt;=Panduan!$B$4,"Terserap","Perlu Evaluasi"))</f>
        <v/>
      </c>
      <c r="AI135" s="29" t="str">
        <f t="shared" ref="AI135:AJ135" si="144">IF(COUNTA(J135,O135,T135,Y135,AD135)=0,"",SUM(J135,O135,T135,Y135,AD135))</f>
        <v/>
      </c>
      <c r="AJ135" s="29" t="str">
        <f t="shared" si="144"/>
        <v/>
      </c>
      <c r="AK135" s="28" t="str">
        <f t="shared" si="15"/>
        <v/>
      </c>
      <c r="AL135" s="28" t="str">
        <f t="shared" si="16"/>
        <v/>
      </c>
      <c r="AM135" s="23" t="str">
        <f>IF(AL135="","",IF(AL135&gt;=Panduan!$B$4,"Terserap","Perlu Evaluasi"))</f>
        <v/>
      </c>
    </row>
    <row r="136" ht="15.75" customHeight="1">
      <c r="A136" s="23" t="str">
        <f t="shared" si="2"/>
        <v/>
      </c>
      <c r="B136" s="33"/>
      <c r="C136" s="23" t="str">
        <f t="shared" si="3"/>
        <v/>
      </c>
      <c r="D136" s="31"/>
      <c r="E136" s="31"/>
      <c r="F136" s="31"/>
      <c r="G136" s="31"/>
      <c r="H136" s="31"/>
      <c r="I136" s="32"/>
      <c r="J136" s="30"/>
      <c r="K136" s="30"/>
      <c r="L136" s="28" t="str">
        <f t="shared" si="4"/>
        <v/>
      </c>
      <c r="M136" s="28" t="str">
        <f t="shared" si="5"/>
        <v/>
      </c>
      <c r="N136" s="23" t="str">
        <f>IF(M136="","",IF(M136&gt;=Panduan!$B$4,"Terserap","Perlu Evaluasi"))</f>
        <v/>
      </c>
      <c r="O136" s="30"/>
      <c r="P136" s="30"/>
      <c r="Q136" s="28" t="str">
        <f t="shared" si="6"/>
        <v/>
      </c>
      <c r="R136" s="28" t="str">
        <f t="shared" si="7"/>
        <v/>
      </c>
      <c r="S136" s="23" t="str">
        <f>IF(R136="","",IF(R136&gt;=Panduan!$B$4,"Terserap","Perlu Evaluasi"))</f>
        <v/>
      </c>
      <c r="T136" s="30"/>
      <c r="U136" s="30"/>
      <c r="V136" s="28" t="str">
        <f t="shared" si="8"/>
        <v/>
      </c>
      <c r="W136" s="28" t="str">
        <f t="shared" si="9"/>
        <v/>
      </c>
      <c r="X136" s="23" t="str">
        <f>IF(W136="","",IF(W136&gt;=Panduan!$B$4,"Terserap","Perlu Evaluasi"))</f>
        <v/>
      </c>
      <c r="Y136" s="30"/>
      <c r="Z136" s="30"/>
      <c r="AA136" s="28" t="str">
        <f t="shared" si="10"/>
        <v/>
      </c>
      <c r="AB136" s="28" t="str">
        <f t="shared" si="11"/>
        <v/>
      </c>
      <c r="AC136" s="23" t="str">
        <f>IF(AB136="","",IF(AB136&gt;=Panduan!$B$4,"Terserap","Perlu Evaluasi"))</f>
        <v/>
      </c>
      <c r="AD136" s="30"/>
      <c r="AE136" s="30"/>
      <c r="AF136" s="28" t="str">
        <f t="shared" si="12"/>
        <v/>
      </c>
      <c r="AG136" s="28" t="str">
        <f t="shared" si="13"/>
        <v/>
      </c>
      <c r="AH136" s="23" t="str">
        <f>IF(AG136="","",IF(AG136&gt;=Panduan!$B$4,"Terserap","Perlu Evaluasi"))</f>
        <v/>
      </c>
      <c r="AI136" s="29" t="str">
        <f t="shared" ref="AI136:AJ136" si="145">IF(COUNTA(J136,O136,T136,Y136,AD136)=0,"",SUM(J136,O136,T136,Y136,AD136))</f>
        <v/>
      </c>
      <c r="AJ136" s="29" t="str">
        <f t="shared" si="145"/>
        <v/>
      </c>
      <c r="AK136" s="28" t="str">
        <f t="shared" si="15"/>
        <v/>
      </c>
      <c r="AL136" s="28" t="str">
        <f t="shared" si="16"/>
        <v/>
      </c>
      <c r="AM136" s="23" t="str">
        <f>IF(AL136="","",IF(AL136&gt;=Panduan!$B$4,"Terserap","Perlu Evaluasi"))</f>
        <v/>
      </c>
    </row>
    <row r="137" ht="15.75" customHeight="1">
      <c r="A137" s="23" t="str">
        <f t="shared" si="2"/>
        <v/>
      </c>
      <c r="B137" s="33"/>
      <c r="C137" s="23" t="str">
        <f t="shared" si="3"/>
        <v/>
      </c>
      <c r="D137" s="31"/>
      <c r="E137" s="31"/>
      <c r="F137" s="31"/>
      <c r="G137" s="31"/>
      <c r="H137" s="31"/>
      <c r="I137" s="32"/>
      <c r="J137" s="30"/>
      <c r="K137" s="30"/>
      <c r="L137" s="28" t="str">
        <f t="shared" si="4"/>
        <v/>
      </c>
      <c r="M137" s="28" t="str">
        <f t="shared" si="5"/>
        <v/>
      </c>
      <c r="N137" s="23" t="str">
        <f>IF(M137="","",IF(M137&gt;=Panduan!$B$4,"Terserap","Perlu Evaluasi"))</f>
        <v/>
      </c>
      <c r="O137" s="30"/>
      <c r="P137" s="30"/>
      <c r="Q137" s="28" t="str">
        <f t="shared" si="6"/>
        <v/>
      </c>
      <c r="R137" s="28" t="str">
        <f t="shared" si="7"/>
        <v/>
      </c>
      <c r="S137" s="23" t="str">
        <f>IF(R137="","",IF(R137&gt;=Panduan!$B$4,"Terserap","Perlu Evaluasi"))</f>
        <v/>
      </c>
      <c r="T137" s="30"/>
      <c r="U137" s="30"/>
      <c r="V137" s="28" t="str">
        <f t="shared" si="8"/>
        <v/>
      </c>
      <c r="W137" s="28" t="str">
        <f t="shared" si="9"/>
        <v/>
      </c>
      <c r="X137" s="23" t="str">
        <f>IF(W137="","",IF(W137&gt;=Panduan!$B$4,"Terserap","Perlu Evaluasi"))</f>
        <v/>
      </c>
      <c r="Y137" s="30"/>
      <c r="Z137" s="30"/>
      <c r="AA137" s="28" t="str">
        <f t="shared" si="10"/>
        <v/>
      </c>
      <c r="AB137" s="28" t="str">
        <f t="shared" si="11"/>
        <v/>
      </c>
      <c r="AC137" s="23" t="str">
        <f>IF(AB137="","",IF(AB137&gt;=Panduan!$B$4,"Terserap","Perlu Evaluasi"))</f>
        <v/>
      </c>
      <c r="AD137" s="30"/>
      <c r="AE137" s="30"/>
      <c r="AF137" s="28" t="str">
        <f t="shared" si="12"/>
        <v/>
      </c>
      <c r="AG137" s="28" t="str">
        <f t="shared" si="13"/>
        <v/>
      </c>
      <c r="AH137" s="23" t="str">
        <f>IF(AG137="","",IF(AG137&gt;=Panduan!$B$4,"Terserap","Perlu Evaluasi"))</f>
        <v/>
      </c>
      <c r="AI137" s="29" t="str">
        <f t="shared" ref="AI137:AJ137" si="146">IF(COUNTA(J137,O137,T137,Y137,AD137)=0,"",SUM(J137,O137,T137,Y137,AD137))</f>
        <v/>
      </c>
      <c r="AJ137" s="29" t="str">
        <f t="shared" si="146"/>
        <v/>
      </c>
      <c r="AK137" s="28" t="str">
        <f t="shared" si="15"/>
        <v/>
      </c>
      <c r="AL137" s="28" t="str">
        <f t="shared" si="16"/>
        <v/>
      </c>
      <c r="AM137" s="23" t="str">
        <f>IF(AL137="","",IF(AL137&gt;=Panduan!$B$4,"Terserap","Perlu Evaluasi"))</f>
        <v/>
      </c>
    </row>
    <row r="138" ht="15.75" customHeight="1">
      <c r="A138" s="23" t="str">
        <f t="shared" si="2"/>
        <v/>
      </c>
      <c r="B138" s="33"/>
      <c r="C138" s="23" t="str">
        <f t="shared" si="3"/>
        <v/>
      </c>
      <c r="D138" s="31"/>
      <c r="E138" s="31"/>
      <c r="F138" s="31"/>
      <c r="G138" s="31"/>
      <c r="H138" s="31"/>
      <c r="I138" s="32"/>
      <c r="J138" s="30"/>
      <c r="K138" s="30"/>
      <c r="L138" s="28" t="str">
        <f t="shared" si="4"/>
        <v/>
      </c>
      <c r="M138" s="28" t="str">
        <f t="shared" si="5"/>
        <v/>
      </c>
      <c r="N138" s="23" t="str">
        <f>IF(M138="","",IF(M138&gt;=Panduan!$B$4,"Terserap","Perlu Evaluasi"))</f>
        <v/>
      </c>
      <c r="O138" s="30"/>
      <c r="P138" s="30"/>
      <c r="Q138" s="28" t="str">
        <f t="shared" si="6"/>
        <v/>
      </c>
      <c r="R138" s="28" t="str">
        <f t="shared" si="7"/>
        <v/>
      </c>
      <c r="S138" s="23" t="str">
        <f>IF(R138="","",IF(R138&gt;=Panduan!$B$4,"Terserap","Perlu Evaluasi"))</f>
        <v/>
      </c>
      <c r="T138" s="30"/>
      <c r="U138" s="30"/>
      <c r="V138" s="28" t="str">
        <f t="shared" si="8"/>
        <v/>
      </c>
      <c r="W138" s="28" t="str">
        <f t="shared" si="9"/>
        <v/>
      </c>
      <c r="X138" s="23" t="str">
        <f>IF(W138="","",IF(W138&gt;=Panduan!$B$4,"Terserap","Perlu Evaluasi"))</f>
        <v/>
      </c>
      <c r="Y138" s="30"/>
      <c r="Z138" s="30"/>
      <c r="AA138" s="28" t="str">
        <f t="shared" si="10"/>
        <v/>
      </c>
      <c r="AB138" s="28" t="str">
        <f t="shared" si="11"/>
        <v/>
      </c>
      <c r="AC138" s="23" t="str">
        <f>IF(AB138="","",IF(AB138&gt;=Panduan!$B$4,"Terserap","Perlu Evaluasi"))</f>
        <v/>
      </c>
      <c r="AD138" s="30"/>
      <c r="AE138" s="30"/>
      <c r="AF138" s="28" t="str">
        <f t="shared" si="12"/>
        <v/>
      </c>
      <c r="AG138" s="28" t="str">
        <f t="shared" si="13"/>
        <v/>
      </c>
      <c r="AH138" s="23" t="str">
        <f>IF(AG138="","",IF(AG138&gt;=Panduan!$B$4,"Terserap","Perlu Evaluasi"))</f>
        <v/>
      </c>
      <c r="AI138" s="29" t="str">
        <f t="shared" ref="AI138:AJ138" si="147">IF(COUNTA(J138,O138,T138,Y138,AD138)=0,"",SUM(J138,O138,T138,Y138,AD138))</f>
        <v/>
      </c>
      <c r="AJ138" s="29" t="str">
        <f t="shared" si="147"/>
        <v/>
      </c>
      <c r="AK138" s="28" t="str">
        <f t="shared" si="15"/>
        <v/>
      </c>
      <c r="AL138" s="28" t="str">
        <f t="shared" si="16"/>
        <v/>
      </c>
      <c r="AM138" s="23" t="str">
        <f>IF(AL138="","",IF(AL138&gt;=Panduan!$B$4,"Terserap","Perlu Evaluasi"))</f>
        <v/>
      </c>
    </row>
    <row r="139" ht="15.75" customHeight="1">
      <c r="A139" s="23" t="str">
        <f t="shared" si="2"/>
        <v/>
      </c>
      <c r="B139" s="33"/>
      <c r="C139" s="23" t="str">
        <f t="shared" si="3"/>
        <v/>
      </c>
      <c r="D139" s="31"/>
      <c r="E139" s="31"/>
      <c r="F139" s="31"/>
      <c r="G139" s="31"/>
      <c r="H139" s="31"/>
      <c r="I139" s="32"/>
      <c r="J139" s="30"/>
      <c r="K139" s="30"/>
      <c r="L139" s="28" t="str">
        <f t="shared" si="4"/>
        <v/>
      </c>
      <c r="M139" s="28" t="str">
        <f t="shared" si="5"/>
        <v/>
      </c>
      <c r="N139" s="23" t="str">
        <f>IF(M139="","",IF(M139&gt;=Panduan!$B$4,"Terserap","Perlu Evaluasi"))</f>
        <v/>
      </c>
      <c r="O139" s="30"/>
      <c r="P139" s="30"/>
      <c r="Q139" s="28" t="str">
        <f t="shared" si="6"/>
        <v/>
      </c>
      <c r="R139" s="28" t="str">
        <f t="shared" si="7"/>
        <v/>
      </c>
      <c r="S139" s="23" t="str">
        <f>IF(R139="","",IF(R139&gt;=Panduan!$B$4,"Terserap","Perlu Evaluasi"))</f>
        <v/>
      </c>
      <c r="T139" s="30"/>
      <c r="U139" s="30"/>
      <c r="V139" s="28" t="str">
        <f t="shared" si="8"/>
        <v/>
      </c>
      <c r="W139" s="28" t="str">
        <f t="shared" si="9"/>
        <v/>
      </c>
      <c r="X139" s="23" t="str">
        <f>IF(W139="","",IF(W139&gt;=Panduan!$B$4,"Terserap","Perlu Evaluasi"))</f>
        <v/>
      </c>
      <c r="Y139" s="30"/>
      <c r="Z139" s="30"/>
      <c r="AA139" s="28" t="str">
        <f t="shared" si="10"/>
        <v/>
      </c>
      <c r="AB139" s="28" t="str">
        <f t="shared" si="11"/>
        <v/>
      </c>
      <c r="AC139" s="23" t="str">
        <f>IF(AB139="","",IF(AB139&gt;=Panduan!$B$4,"Terserap","Perlu Evaluasi"))</f>
        <v/>
      </c>
      <c r="AD139" s="30"/>
      <c r="AE139" s="30"/>
      <c r="AF139" s="28" t="str">
        <f t="shared" si="12"/>
        <v/>
      </c>
      <c r="AG139" s="28" t="str">
        <f t="shared" si="13"/>
        <v/>
      </c>
      <c r="AH139" s="23" t="str">
        <f>IF(AG139="","",IF(AG139&gt;=Panduan!$B$4,"Terserap","Perlu Evaluasi"))</f>
        <v/>
      </c>
      <c r="AI139" s="29" t="str">
        <f t="shared" ref="AI139:AJ139" si="148">IF(COUNTA(J139,O139,T139,Y139,AD139)=0,"",SUM(J139,O139,T139,Y139,AD139))</f>
        <v/>
      </c>
      <c r="AJ139" s="29" t="str">
        <f t="shared" si="148"/>
        <v/>
      </c>
      <c r="AK139" s="28" t="str">
        <f t="shared" si="15"/>
        <v/>
      </c>
      <c r="AL139" s="28" t="str">
        <f t="shared" si="16"/>
        <v/>
      </c>
      <c r="AM139" s="23" t="str">
        <f>IF(AL139="","",IF(AL139&gt;=Panduan!$B$4,"Terserap","Perlu Evaluasi"))</f>
        <v/>
      </c>
    </row>
    <row r="140" ht="15.75" customHeight="1">
      <c r="A140" s="23" t="str">
        <f t="shared" si="2"/>
        <v/>
      </c>
      <c r="B140" s="33"/>
      <c r="C140" s="23" t="str">
        <f t="shared" si="3"/>
        <v/>
      </c>
      <c r="D140" s="31"/>
      <c r="E140" s="31"/>
      <c r="F140" s="31"/>
      <c r="G140" s="31"/>
      <c r="H140" s="31"/>
      <c r="I140" s="32"/>
      <c r="J140" s="30"/>
      <c r="K140" s="30"/>
      <c r="L140" s="28" t="str">
        <f t="shared" si="4"/>
        <v/>
      </c>
      <c r="M140" s="28" t="str">
        <f t="shared" si="5"/>
        <v/>
      </c>
      <c r="N140" s="23" t="str">
        <f>IF(M140="","",IF(M140&gt;=Panduan!$B$4,"Terserap","Perlu Evaluasi"))</f>
        <v/>
      </c>
      <c r="O140" s="30"/>
      <c r="P140" s="30"/>
      <c r="Q140" s="28" t="str">
        <f t="shared" si="6"/>
        <v/>
      </c>
      <c r="R140" s="28" t="str">
        <f t="shared" si="7"/>
        <v/>
      </c>
      <c r="S140" s="23" t="str">
        <f>IF(R140="","",IF(R140&gt;=Panduan!$B$4,"Terserap","Perlu Evaluasi"))</f>
        <v/>
      </c>
      <c r="T140" s="30"/>
      <c r="U140" s="30"/>
      <c r="V140" s="28" t="str">
        <f t="shared" si="8"/>
        <v/>
      </c>
      <c r="W140" s="28" t="str">
        <f t="shared" si="9"/>
        <v/>
      </c>
      <c r="X140" s="23" t="str">
        <f>IF(W140="","",IF(W140&gt;=Panduan!$B$4,"Terserap","Perlu Evaluasi"))</f>
        <v/>
      </c>
      <c r="Y140" s="30"/>
      <c r="Z140" s="30"/>
      <c r="AA140" s="28" t="str">
        <f t="shared" si="10"/>
        <v/>
      </c>
      <c r="AB140" s="28" t="str">
        <f t="shared" si="11"/>
        <v/>
      </c>
      <c r="AC140" s="23" t="str">
        <f>IF(AB140="","",IF(AB140&gt;=Panduan!$B$4,"Terserap","Perlu Evaluasi"))</f>
        <v/>
      </c>
      <c r="AD140" s="30"/>
      <c r="AE140" s="30"/>
      <c r="AF140" s="28" t="str">
        <f t="shared" si="12"/>
        <v/>
      </c>
      <c r="AG140" s="28" t="str">
        <f t="shared" si="13"/>
        <v/>
      </c>
      <c r="AH140" s="23" t="str">
        <f>IF(AG140="","",IF(AG140&gt;=Panduan!$B$4,"Terserap","Perlu Evaluasi"))</f>
        <v/>
      </c>
      <c r="AI140" s="29" t="str">
        <f t="shared" ref="AI140:AJ140" si="149">IF(COUNTA(J140,O140,T140,Y140,AD140)=0,"",SUM(J140,O140,T140,Y140,AD140))</f>
        <v/>
      </c>
      <c r="AJ140" s="29" t="str">
        <f t="shared" si="149"/>
        <v/>
      </c>
      <c r="AK140" s="28" t="str">
        <f t="shared" si="15"/>
        <v/>
      </c>
      <c r="AL140" s="28" t="str">
        <f t="shared" si="16"/>
        <v/>
      </c>
      <c r="AM140" s="23" t="str">
        <f>IF(AL140="","",IF(AL140&gt;=Panduan!$B$4,"Terserap","Perlu Evaluasi"))</f>
        <v/>
      </c>
    </row>
    <row r="141" ht="15.75" customHeight="1">
      <c r="A141" s="23" t="str">
        <f t="shared" si="2"/>
        <v/>
      </c>
      <c r="B141" s="33"/>
      <c r="C141" s="23" t="str">
        <f t="shared" si="3"/>
        <v/>
      </c>
      <c r="D141" s="31"/>
      <c r="E141" s="31"/>
      <c r="F141" s="31"/>
      <c r="G141" s="31"/>
      <c r="H141" s="31"/>
      <c r="I141" s="32"/>
      <c r="J141" s="30"/>
      <c r="K141" s="30"/>
      <c r="L141" s="28" t="str">
        <f t="shared" si="4"/>
        <v/>
      </c>
      <c r="M141" s="28" t="str">
        <f t="shared" si="5"/>
        <v/>
      </c>
      <c r="N141" s="23" t="str">
        <f>IF(M141="","",IF(M141&gt;=Panduan!$B$4,"Terserap","Perlu Evaluasi"))</f>
        <v/>
      </c>
      <c r="O141" s="30"/>
      <c r="P141" s="30"/>
      <c r="Q141" s="28" t="str">
        <f t="shared" si="6"/>
        <v/>
      </c>
      <c r="R141" s="28" t="str">
        <f t="shared" si="7"/>
        <v/>
      </c>
      <c r="S141" s="23" t="str">
        <f>IF(R141="","",IF(R141&gt;=Panduan!$B$4,"Terserap","Perlu Evaluasi"))</f>
        <v/>
      </c>
      <c r="T141" s="30"/>
      <c r="U141" s="30"/>
      <c r="V141" s="28" t="str">
        <f t="shared" si="8"/>
        <v/>
      </c>
      <c r="W141" s="28" t="str">
        <f t="shared" si="9"/>
        <v/>
      </c>
      <c r="X141" s="23" t="str">
        <f>IF(W141="","",IF(W141&gt;=Panduan!$B$4,"Terserap","Perlu Evaluasi"))</f>
        <v/>
      </c>
      <c r="Y141" s="30"/>
      <c r="Z141" s="30"/>
      <c r="AA141" s="28" t="str">
        <f t="shared" si="10"/>
        <v/>
      </c>
      <c r="AB141" s="28" t="str">
        <f t="shared" si="11"/>
        <v/>
      </c>
      <c r="AC141" s="23" t="str">
        <f>IF(AB141="","",IF(AB141&gt;=Panduan!$B$4,"Terserap","Perlu Evaluasi"))</f>
        <v/>
      </c>
      <c r="AD141" s="30"/>
      <c r="AE141" s="30"/>
      <c r="AF141" s="28" t="str">
        <f t="shared" si="12"/>
        <v/>
      </c>
      <c r="AG141" s="28" t="str">
        <f t="shared" si="13"/>
        <v/>
      </c>
      <c r="AH141" s="23" t="str">
        <f>IF(AG141="","",IF(AG141&gt;=Panduan!$B$4,"Terserap","Perlu Evaluasi"))</f>
        <v/>
      </c>
      <c r="AI141" s="29" t="str">
        <f t="shared" ref="AI141:AJ141" si="150">IF(COUNTA(J141,O141,T141,Y141,AD141)=0,"",SUM(J141,O141,T141,Y141,AD141))</f>
        <v/>
      </c>
      <c r="AJ141" s="29" t="str">
        <f t="shared" si="150"/>
        <v/>
      </c>
      <c r="AK141" s="28" t="str">
        <f t="shared" si="15"/>
        <v/>
      </c>
      <c r="AL141" s="28" t="str">
        <f t="shared" si="16"/>
        <v/>
      </c>
      <c r="AM141" s="23" t="str">
        <f>IF(AL141="","",IF(AL141&gt;=Panduan!$B$4,"Terserap","Perlu Evaluasi"))</f>
        <v/>
      </c>
    </row>
    <row r="142" ht="15.75" customHeight="1">
      <c r="A142" s="23" t="str">
        <f t="shared" si="2"/>
        <v/>
      </c>
      <c r="B142" s="33"/>
      <c r="C142" s="23" t="str">
        <f t="shared" si="3"/>
        <v/>
      </c>
      <c r="D142" s="31"/>
      <c r="E142" s="31"/>
      <c r="F142" s="31"/>
      <c r="G142" s="31"/>
      <c r="H142" s="31"/>
      <c r="I142" s="32"/>
      <c r="J142" s="30"/>
      <c r="K142" s="30"/>
      <c r="L142" s="28" t="str">
        <f t="shared" si="4"/>
        <v/>
      </c>
      <c r="M142" s="28" t="str">
        <f t="shared" si="5"/>
        <v/>
      </c>
      <c r="N142" s="23" t="str">
        <f>IF(M142="","",IF(M142&gt;=Panduan!$B$4,"Terserap","Perlu Evaluasi"))</f>
        <v/>
      </c>
      <c r="O142" s="30"/>
      <c r="P142" s="30"/>
      <c r="Q142" s="28" t="str">
        <f t="shared" si="6"/>
        <v/>
      </c>
      <c r="R142" s="28" t="str">
        <f t="shared" si="7"/>
        <v/>
      </c>
      <c r="S142" s="23" t="str">
        <f>IF(R142="","",IF(R142&gt;=Panduan!$B$4,"Terserap","Perlu Evaluasi"))</f>
        <v/>
      </c>
      <c r="T142" s="30"/>
      <c r="U142" s="30"/>
      <c r="V142" s="28" t="str">
        <f t="shared" si="8"/>
        <v/>
      </c>
      <c r="W142" s="28" t="str">
        <f t="shared" si="9"/>
        <v/>
      </c>
      <c r="X142" s="23" t="str">
        <f>IF(W142="","",IF(W142&gt;=Panduan!$B$4,"Terserap","Perlu Evaluasi"))</f>
        <v/>
      </c>
      <c r="Y142" s="30"/>
      <c r="Z142" s="30"/>
      <c r="AA142" s="28" t="str">
        <f t="shared" si="10"/>
        <v/>
      </c>
      <c r="AB142" s="28" t="str">
        <f t="shared" si="11"/>
        <v/>
      </c>
      <c r="AC142" s="23" t="str">
        <f>IF(AB142="","",IF(AB142&gt;=Panduan!$B$4,"Terserap","Perlu Evaluasi"))</f>
        <v/>
      </c>
      <c r="AD142" s="30"/>
      <c r="AE142" s="30"/>
      <c r="AF142" s="28" t="str">
        <f t="shared" si="12"/>
        <v/>
      </c>
      <c r="AG142" s="28" t="str">
        <f t="shared" si="13"/>
        <v/>
      </c>
      <c r="AH142" s="23" t="str">
        <f>IF(AG142="","",IF(AG142&gt;=Panduan!$B$4,"Terserap","Perlu Evaluasi"))</f>
        <v/>
      </c>
      <c r="AI142" s="29" t="str">
        <f t="shared" ref="AI142:AJ142" si="151">IF(COUNTA(J142,O142,T142,Y142,AD142)=0,"",SUM(J142,O142,T142,Y142,AD142))</f>
        <v/>
      </c>
      <c r="AJ142" s="29" t="str">
        <f t="shared" si="151"/>
        <v/>
      </c>
      <c r="AK142" s="28" t="str">
        <f t="shared" si="15"/>
        <v/>
      </c>
      <c r="AL142" s="28" t="str">
        <f t="shared" si="16"/>
        <v/>
      </c>
      <c r="AM142" s="23" t="str">
        <f>IF(AL142="","",IF(AL142&gt;=Panduan!$B$4,"Terserap","Perlu Evaluasi"))</f>
        <v/>
      </c>
    </row>
    <row r="143" ht="15.75" customHeight="1">
      <c r="A143" s="23" t="str">
        <f t="shared" si="2"/>
        <v/>
      </c>
      <c r="B143" s="33"/>
      <c r="C143" s="23" t="str">
        <f t="shared" si="3"/>
        <v/>
      </c>
      <c r="D143" s="31"/>
      <c r="E143" s="31"/>
      <c r="F143" s="31"/>
      <c r="G143" s="31"/>
      <c r="H143" s="31"/>
      <c r="I143" s="32"/>
      <c r="J143" s="30"/>
      <c r="K143" s="30"/>
      <c r="L143" s="28" t="str">
        <f t="shared" si="4"/>
        <v/>
      </c>
      <c r="M143" s="28" t="str">
        <f t="shared" si="5"/>
        <v/>
      </c>
      <c r="N143" s="23" t="str">
        <f>IF(M143="","",IF(M143&gt;=Panduan!$B$4,"Terserap","Perlu Evaluasi"))</f>
        <v/>
      </c>
      <c r="O143" s="30"/>
      <c r="P143" s="30"/>
      <c r="Q143" s="28" t="str">
        <f t="shared" si="6"/>
        <v/>
      </c>
      <c r="R143" s="28" t="str">
        <f t="shared" si="7"/>
        <v/>
      </c>
      <c r="S143" s="23" t="str">
        <f>IF(R143="","",IF(R143&gt;=Panduan!$B$4,"Terserap","Perlu Evaluasi"))</f>
        <v/>
      </c>
      <c r="T143" s="30"/>
      <c r="U143" s="30"/>
      <c r="V143" s="28" t="str">
        <f t="shared" si="8"/>
        <v/>
      </c>
      <c r="W143" s="28" t="str">
        <f t="shared" si="9"/>
        <v/>
      </c>
      <c r="X143" s="23" t="str">
        <f>IF(W143="","",IF(W143&gt;=Panduan!$B$4,"Terserap","Perlu Evaluasi"))</f>
        <v/>
      </c>
      <c r="Y143" s="30"/>
      <c r="Z143" s="30"/>
      <c r="AA143" s="28" t="str">
        <f t="shared" si="10"/>
        <v/>
      </c>
      <c r="AB143" s="28" t="str">
        <f t="shared" si="11"/>
        <v/>
      </c>
      <c r="AC143" s="23" t="str">
        <f>IF(AB143="","",IF(AB143&gt;=Panduan!$B$4,"Terserap","Perlu Evaluasi"))</f>
        <v/>
      </c>
      <c r="AD143" s="30"/>
      <c r="AE143" s="30"/>
      <c r="AF143" s="28" t="str">
        <f t="shared" si="12"/>
        <v/>
      </c>
      <c r="AG143" s="28" t="str">
        <f t="shared" si="13"/>
        <v/>
      </c>
      <c r="AH143" s="23" t="str">
        <f>IF(AG143="","",IF(AG143&gt;=Panduan!$B$4,"Terserap","Perlu Evaluasi"))</f>
        <v/>
      </c>
      <c r="AI143" s="29" t="str">
        <f t="shared" ref="AI143:AJ143" si="152">IF(COUNTA(J143,O143,T143,Y143,AD143)=0,"",SUM(J143,O143,T143,Y143,AD143))</f>
        <v/>
      </c>
      <c r="AJ143" s="29" t="str">
        <f t="shared" si="152"/>
        <v/>
      </c>
      <c r="AK143" s="28" t="str">
        <f t="shared" si="15"/>
        <v/>
      </c>
      <c r="AL143" s="28" t="str">
        <f t="shared" si="16"/>
        <v/>
      </c>
      <c r="AM143" s="23" t="str">
        <f>IF(AL143="","",IF(AL143&gt;=Panduan!$B$4,"Terserap","Perlu Evaluasi"))</f>
        <v/>
      </c>
    </row>
    <row r="144" ht="15.75" customHeight="1">
      <c r="A144" s="23" t="str">
        <f t="shared" si="2"/>
        <v/>
      </c>
      <c r="B144" s="33"/>
      <c r="C144" s="23" t="str">
        <f t="shared" si="3"/>
        <v/>
      </c>
      <c r="D144" s="31"/>
      <c r="E144" s="31"/>
      <c r="F144" s="31"/>
      <c r="G144" s="31"/>
      <c r="H144" s="31"/>
      <c r="I144" s="32"/>
      <c r="J144" s="30"/>
      <c r="K144" s="30"/>
      <c r="L144" s="28" t="str">
        <f t="shared" si="4"/>
        <v/>
      </c>
      <c r="M144" s="28" t="str">
        <f t="shared" si="5"/>
        <v/>
      </c>
      <c r="N144" s="23" t="str">
        <f>IF(M144="","",IF(M144&gt;=Panduan!$B$4,"Terserap","Perlu Evaluasi"))</f>
        <v/>
      </c>
      <c r="O144" s="30"/>
      <c r="P144" s="30"/>
      <c r="Q144" s="28" t="str">
        <f t="shared" si="6"/>
        <v/>
      </c>
      <c r="R144" s="28" t="str">
        <f t="shared" si="7"/>
        <v/>
      </c>
      <c r="S144" s="23" t="str">
        <f>IF(R144="","",IF(R144&gt;=Panduan!$B$4,"Terserap","Perlu Evaluasi"))</f>
        <v/>
      </c>
      <c r="T144" s="30"/>
      <c r="U144" s="30"/>
      <c r="V144" s="28" t="str">
        <f t="shared" si="8"/>
        <v/>
      </c>
      <c r="W144" s="28" t="str">
        <f t="shared" si="9"/>
        <v/>
      </c>
      <c r="X144" s="23" t="str">
        <f>IF(W144="","",IF(W144&gt;=Panduan!$B$4,"Terserap","Perlu Evaluasi"))</f>
        <v/>
      </c>
      <c r="Y144" s="30"/>
      <c r="Z144" s="30"/>
      <c r="AA144" s="28" t="str">
        <f t="shared" si="10"/>
        <v/>
      </c>
      <c r="AB144" s="28" t="str">
        <f t="shared" si="11"/>
        <v/>
      </c>
      <c r="AC144" s="23" t="str">
        <f>IF(AB144="","",IF(AB144&gt;=Panduan!$B$4,"Terserap","Perlu Evaluasi"))</f>
        <v/>
      </c>
      <c r="AD144" s="30"/>
      <c r="AE144" s="30"/>
      <c r="AF144" s="28" t="str">
        <f t="shared" si="12"/>
        <v/>
      </c>
      <c r="AG144" s="28" t="str">
        <f t="shared" si="13"/>
        <v/>
      </c>
      <c r="AH144" s="23" t="str">
        <f>IF(AG144="","",IF(AG144&gt;=Panduan!$B$4,"Terserap","Perlu Evaluasi"))</f>
        <v/>
      </c>
      <c r="AI144" s="29" t="str">
        <f t="shared" ref="AI144:AJ144" si="153">IF(COUNTA(J144,O144,T144,Y144,AD144)=0,"",SUM(J144,O144,T144,Y144,AD144))</f>
        <v/>
      </c>
      <c r="AJ144" s="29" t="str">
        <f t="shared" si="153"/>
        <v/>
      </c>
      <c r="AK144" s="28" t="str">
        <f t="shared" si="15"/>
        <v/>
      </c>
      <c r="AL144" s="28" t="str">
        <f t="shared" si="16"/>
        <v/>
      </c>
      <c r="AM144" s="23" t="str">
        <f>IF(AL144="","",IF(AL144&gt;=Panduan!$B$4,"Terserap","Perlu Evaluasi"))</f>
        <v/>
      </c>
    </row>
    <row r="145" ht="15.75" customHeight="1">
      <c r="A145" s="23" t="str">
        <f t="shared" si="2"/>
        <v/>
      </c>
      <c r="B145" s="33"/>
      <c r="C145" s="23" t="str">
        <f t="shared" si="3"/>
        <v/>
      </c>
      <c r="D145" s="31"/>
      <c r="E145" s="31"/>
      <c r="F145" s="31"/>
      <c r="G145" s="31"/>
      <c r="H145" s="31"/>
      <c r="I145" s="32"/>
      <c r="J145" s="30"/>
      <c r="K145" s="30"/>
      <c r="L145" s="28" t="str">
        <f t="shared" si="4"/>
        <v/>
      </c>
      <c r="M145" s="28" t="str">
        <f t="shared" si="5"/>
        <v/>
      </c>
      <c r="N145" s="23" t="str">
        <f>IF(M145="","",IF(M145&gt;=Panduan!$B$4,"Terserap","Perlu Evaluasi"))</f>
        <v/>
      </c>
      <c r="O145" s="30"/>
      <c r="P145" s="30"/>
      <c r="Q145" s="28" t="str">
        <f t="shared" si="6"/>
        <v/>
      </c>
      <c r="R145" s="28" t="str">
        <f t="shared" si="7"/>
        <v/>
      </c>
      <c r="S145" s="23" t="str">
        <f>IF(R145="","",IF(R145&gt;=Panduan!$B$4,"Terserap","Perlu Evaluasi"))</f>
        <v/>
      </c>
      <c r="T145" s="30"/>
      <c r="U145" s="30"/>
      <c r="V145" s="28" t="str">
        <f t="shared" si="8"/>
        <v/>
      </c>
      <c r="W145" s="28" t="str">
        <f t="shared" si="9"/>
        <v/>
      </c>
      <c r="X145" s="23" t="str">
        <f>IF(W145="","",IF(W145&gt;=Panduan!$B$4,"Terserap","Perlu Evaluasi"))</f>
        <v/>
      </c>
      <c r="Y145" s="30"/>
      <c r="Z145" s="30"/>
      <c r="AA145" s="28" t="str">
        <f t="shared" si="10"/>
        <v/>
      </c>
      <c r="AB145" s="28" t="str">
        <f t="shared" si="11"/>
        <v/>
      </c>
      <c r="AC145" s="23" t="str">
        <f>IF(AB145="","",IF(AB145&gt;=Panduan!$B$4,"Terserap","Perlu Evaluasi"))</f>
        <v/>
      </c>
      <c r="AD145" s="30"/>
      <c r="AE145" s="30"/>
      <c r="AF145" s="28" t="str">
        <f t="shared" si="12"/>
        <v/>
      </c>
      <c r="AG145" s="28" t="str">
        <f t="shared" si="13"/>
        <v/>
      </c>
      <c r="AH145" s="23" t="str">
        <f>IF(AG145="","",IF(AG145&gt;=Panduan!$B$4,"Terserap","Perlu Evaluasi"))</f>
        <v/>
      </c>
      <c r="AI145" s="29" t="str">
        <f t="shared" ref="AI145:AJ145" si="154">IF(COUNTA(J145,O145,T145,Y145,AD145)=0,"",SUM(J145,O145,T145,Y145,AD145))</f>
        <v/>
      </c>
      <c r="AJ145" s="29" t="str">
        <f t="shared" si="154"/>
        <v/>
      </c>
      <c r="AK145" s="28" t="str">
        <f t="shared" si="15"/>
        <v/>
      </c>
      <c r="AL145" s="28" t="str">
        <f t="shared" si="16"/>
        <v/>
      </c>
      <c r="AM145" s="23" t="str">
        <f>IF(AL145="","",IF(AL145&gt;=Panduan!$B$4,"Terserap","Perlu Evaluasi"))</f>
        <v/>
      </c>
    </row>
    <row r="146" ht="15.75" customHeight="1">
      <c r="A146" s="23" t="str">
        <f t="shared" si="2"/>
        <v/>
      </c>
      <c r="B146" s="33"/>
      <c r="C146" s="23" t="str">
        <f t="shared" si="3"/>
        <v/>
      </c>
      <c r="D146" s="31"/>
      <c r="E146" s="31"/>
      <c r="F146" s="31"/>
      <c r="G146" s="31"/>
      <c r="H146" s="31"/>
      <c r="I146" s="32"/>
      <c r="J146" s="30"/>
      <c r="K146" s="30"/>
      <c r="L146" s="28" t="str">
        <f t="shared" si="4"/>
        <v/>
      </c>
      <c r="M146" s="28" t="str">
        <f t="shared" si="5"/>
        <v/>
      </c>
      <c r="N146" s="23" t="str">
        <f>IF(M146="","",IF(M146&gt;=Panduan!$B$4,"Terserap","Perlu Evaluasi"))</f>
        <v/>
      </c>
      <c r="O146" s="30"/>
      <c r="P146" s="30"/>
      <c r="Q146" s="28" t="str">
        <f t="shared" si="6"/>
        <v/>
      </c>
      <c r="R146" s="28" t="str">
        <f t="shared" si="7"/>
        <v/>
      </c>
      <c r="S146" s="23" t="str">
        <f>IF(R146="","",IF(R146&gt;=Panduan!$B$4,"Terserap","Perlu Evaluasi"))</f>
        <v/>
      </c>
      <c r="T146" s="30"/>
      <c r="U146" s="30"/>
      <c r="V146" s="28" t="str">
        <f t="shared" si="8"/>
        <v/>
      </c>
      <c r="W146" s="28" t="str">
        <f t="shared" si="9"/>
        <v/>
      </c>
      <c r="X146" s="23" t="str">
        <f>IF(W146="","",IF(W146&gt;=Panduan!$B$4,"Terserap","Perlu Evaluasi"))</f>
        <v/>
      </c>
      <c r="Y146" s="30"/>
      <c r="Z146" s="30"/>
      <c r="AA146" s="28" t="str">
        <f t="shared" si="10"/>
        <v/>
      </c>
      <c r="AB146" s="28" t="str">
        <f t="shared" si="11"/>
        <v/>
      </c>
      <c r="AC146" s="23" t="str">
        <f>IF(AB146="","",IF(AB146&gt;=Panduan!$B$4,"Terserap","Perlu Evaluasi"))</f>
        <v/>
      </c>
      <c r="AD146" s="30"/>
      <c r="AE146" s="30"/>
      <c r="AF146" s="28" t="str">
        <f t="shared" si="12"/>
        <v/>
      </c>
      <c r="AG146" s="28" t="str">
        <f t="shared" si="13"/>
        <v/>
      </c>
      <c r="AH146" s="23" t="str">
        <f>IF(AG146="","",IF(AG146&gt;=Panduan!$B$4,"Terserap","Perlu Evaluasi"))</f>
        <v/>
      </c>
      <c r="AI146" s="29" t="str">
        <f t="shared" ref="AI146:AJ146" si="155">IF(COUNTA(J146,O146,T146,Y146,AD146)=0,"",SUM(J146,O146,T146,Y146,AD146))</f>
        <v/>
      </c>
      <c r="AJ146" s="29" t="str">
        <f t="shared" si="155"/>
        <v/>
      </c>
      <c r="AK146" s="28" t="str">
        <f t="shared" si="15"/>
        <v/>
      </c>
      <c r="AL146" s="28" t="str">
        <f t="shared" si="16"/>
        <v/>
      </c>
      <c r="AM146" s="23" t="str">
        <f>IF(AL146="","",IF(AL146&gt;=Panduan!$B$4,"Terserap","Perlu Evaluasi"))</f>
        <v/>
      </c>
    </row>
    <row r="147" ht="15.75" customHeight="1">
      <c r="A147" s="23" t="str">
        <f t="shared" si="2"/>
        <v/>
      </c>
      <c r="B147" s="33"/>
      <c r="C147" s="23" t="str">
        <f t="shared" si="3"/>
        <v/>
      </c>
      <c r="D147" s="31"/>
      <c r="E147" s="31"/>
      <c r="F147" s="31"/>
      <c r="G147" s="31"/>
      <c r="H147" s="31"/>
      <c r="I147" s="32"/>
      <c r="J147" s="30"/>
      <c r="K147" s="30"/>
      <c r="L147" s="28" t="str">
        <f t="shared" si="4"/>
        <v/>
      </c>
      <c r="M147" s="28" t="str">
        <f t="shared" si="5"/>
        <v/>
      </c>
      <c r="N147" s="23" t="str">
        <f>IF(M147="","",IF(M147&gt;=Panduan!$B$4,"Terserap","Perlu Evaluasi"))</f>
        <v/>
      </c>
      <c r="O147" s="30"/>
      <c r="P147" s="30"/>
      <c r="Q147" s="28" t="str">
        <f t="shared" si="6"/>
        <v/>
      </c>
      <c r="R147" s="28" t="str">
        <f t="shared" si="7"/>
        <v/>
      </c>
      <c r="S147" s="23" t="str">
        <f>IF(R147="","",IF(R147&gt;=Panduan!$B$4,"Terserap","Perlu Evaluasi"))</f>
        <v/>
      </c>
      <c r="T147" s="30"/>
      <c r="U147" s="30"/>
      <c r="V147" s="28" t="str">
        <f t="shared" si="8"/>
        <v/>
      </c>
      <c r="W147" s="28" t="str">
        <f t="shared" si="9"/>
        <v/>
      </c>
      <c r="X147" s="23" t="str">
        <f>IF(W147="","",IF(W147&gt;=Panduan!$B$4,"Terserap","Perlu Evaluasi"))</f>
        <v/>
      </c>
      <c r="Y147" s="30"/>
      <c r="Z147" s="30"/>
      <c r="AA147" s="28" t="str">
        <f t="shared" si="10"/>
        <v/>
      </c>
      <c r="AB147" s="28" t="str">
        <f t="shared" si="11"/>
        <v/>
      </c>
      <c r="AC147" s="23" t="str">
        <f>IF(AB147="","",IF(AB147&gt;=Panduan!$B$4,"Terserap","Perlu Evaluasi"))</f>
        <v/>
      </c>
      <c r="AD147" s="30"/>
      <c r="AE147" s="30"/>
      <c r="AF147" s="28" t="str">
        <f t="shared" si="12"/>
        <v/>
      </c>
      <c r="AG147" s="28" t="str">
        <f t="shared" si="13"/>
        <v/>
      </c>
      <c r="AH147" s="23" t="str">
        <f>IF(AG147="","",IF(AG147&gt;=Panduan!$B$4,"Terserap","Perlu Evaluasi"))</f>
        <v/>
      </c>
      <c r="AI147" s="29" t="str">
        <f t="shared" ref="AI147:AJ147" si="156">IF(COUNTA(J147,O147,T147,Y147,AD147)=0,"",SUM(J147,O147,T147,Y147,AD147))</f>
        <v/>
      </c>
      <c r="AJ147" s="29" t="str">
        <f t="shared" si="156"/>
        <v/>
      </c>
      <c r="AK147" s="28" t="str">
        <f t="shared" si="15"/>
        <v/>
      </c>
      <c r="AL147" s="28" t="str">
        <f t="shared" si="16"/>
        <v/>
      </c>
      <c r="AM147" s="23" t="str">
        <f>IF(AL147="","",IF(AL147&gt;=Panduan!$B$4,"Terserap","Perlu Evaluasi"))</f>
        <v/>
      </c>
    </row>
    <row r="148" ht="15.75" customHeight="1">
      <c r="A148" s="23" t="str">
        <f t="shared" si="2"/>
        <v/>
      </c>
      <c r="B148" s="33"/>
      <c r="C148" s="23" t="str">
        <f t="shared" si="3"/>
        <v/>
      </c>
      <c r="D148" s="31"/>
      <c r="E148" s="31"/>
      <c r="F148" s="31"/>
      <c r="G148" s="31"/>
      <c r="H148" s="31"/>
      <c r="I148" s="32"/>
      <c r="J148" s="30"/>
      <c r="K148" s="30"/>
      <c r="L148" s="28" t="str">
        <f t="shared" si="4"/>
        <v/>
      </c>
      <c r="M148" s="28" t="str">
        <f t="shared" si="5"/>
        <v/>
      </c>
      <c r="N148" s="23" t="str">
        <f>IF(M148="","",IF(M148&gt;=Panduan!$B$4,"Terserap","Perlu Evaluasi"))</f>
        <v/>
      </c>
      <c r="O148" s="30"/>
      <c r="P148" s="30"/>
      <c r="Q148" s="28" t="str">
        <f t="shared" si="6"/>
        <v/>
      </c>
      <c r="R148" s="28" t="str">
        <f t="shared" si="7"/>
        <v/>
      </c>
      <c r="S148" s="23" t="str">
        <f>IF(R148="","",IF(R148&gt;=Panduan!$B$4,"Terserap","Perlu Evaluasi"))</f>
        <v/>
      </c>
      <c r="T148" s="30"/>
      <c r="U148" s="30"/>
      <c r="V148" s="28" t="str">
        <f t="shared" si="8"/>
        <v/>
      </c>
      <c r="W148" s="28" t="str">
        <f t="shared" si="9"/>
        <v/>
      </c>
      <c r="X148" s="23" t="str">
        <f>IF(W148="","",IF(W148&gt;=Panduan!$B$4,"Terserap","Perlu Evaluasi"))</f>
        <v/>
      </c>
      <c r="Y148" s="30"/>
      <c r="Z148" s="30"/>
      <c r="AA148" s="28" t="str">
        <f t="shared" si="10"/>
        <v/>
      </c>
      <c r="AB148" s="28" t="str">
        <f t="shared" si="11"/>
        <v/>
      </c>
      <c r="AC148" s="23" t="str">
        <f>IF(AB148="","",IF(AB148&gt;=Panduan!$B$4,"Terserap","Perlu Evaluasi"))</f>
        <v/>
      </c>
      <c r="AD148" s="30"/>
      <c r="AE148" s="30"/>
      <c r="AF148" s="28" t="str">
        <f t="shared" si="12"/>
        <v/>
      </c>
      <c r="AG148" s="28" t="str">
        <f t="shared" si="13"/>
        <v/>
      </c>
      <c r="AH148" s="23" t="str">
        <f>IF(AG148="","",IF(AG148&gt;=Panduan!$B$4,"Terserap","Perlu Evaluasi"))</f>
        <v/>
      </c>
      <c r="AI148" s="29" t="str">
        <f t="shared" ref="AI148:AJ148" si="157">IF(COUNTA(J148,O148,T148,Y148,AD148)=0,"",SUM(J148,O148,T148,Y148,AD148))</f>
        <v/>
      </c>
      <c r="AJ148" s="29" t="str">
        <f t="shared" si="157"/>
        <v/>
      </c>
      <c r="AK148" s="28" t="str">
        <f t="shared" si="15"/>
        <v/>
      </c>
      <c r="AL148" s="28" t="str">
        <f t="shared" si="16"/>
        <v/>
      </c>
      <c r="AM148" s="23" t="str">
        <f>IF(AL148="","",IF(AL148&gt;=Panduan!$B$4,"Terserap","Perlu Evaluasi"))</f>
        <v/>
      </c>
    </row>
    <row r="149" ht="15.75" customHeight="1">
      <c r="A149" s="23" t="str">
        <f t="shared" si="2"/>
        <v/>
      </c>
      <c r="B149" s="33"/>
      <c r="C149" s="23" t="str">
        <f t="shared" si="3"/>
        <v/>
      </c>
      <c r="D149" s="31"/>
      <c r="E149" s="31"/>
      <c r="F149" s="31"/>
      <c r="G149" s="31"/>
      <c r="H149" s="31"/>
      <c r="I149" s="32"/>
      <c r="J149" s="30"/>
      <c r="K149" s="30"/>
      <c r="L149" s="28" t="str">
        <f t="shared" si="4"/>
        <v/>
      </c>
      <c r="M149" s="28" t="str">
        <f t="shared" si="5"/>
        <v/>
      </c>
      <c r="N149" s="23" t="str">
        <f>IF(M149="","",IF(M149&gt;=Panduan!$B$4,"Terserap","Perlu Evaluasi"))</f>
        <v/>
      </c>
      <c r="O149" s="30"/>
      <c r="P149" s="30"/>
      <c r="Q149" s="28" t="str">
        <f t="shared" si="6"/>
        <v/>
      </c>
      <c r="R149" s="28" t="str">
        <f t="shared" si="7"/>
        <v/>
      </c>
      <c r="S149" s="23" t="str">
        <f>IF(R149="","",IF(R149&gt;=Panduan!$B$4,"Terserap","Perlu Evaluasi"))</f>
        <v/>
      </c>
      <c r="T149" s="30"/>
      <c r="U149" s="30"/>
      <c r="V149" s="28" t="str">
        <f t="shared" si="8"/>
        <v/>
      </c>
      <c r="W149" s="28" t="str">
        <f t="shared" si="9"/>
        <v/>
      </c>
      <c r="X149" s="23" t="str">
        <f>IF(W149="","",IF(W149&gt;=Panduan!$B$4,"Terserap","Perlu Evaluasi"))</f>
        <v/>
      </c>
      <c r="Y149" s="30"/>
      <c r="Z149" s="30"/>
      <c r="AA149" s="28" t="str">
        <f t="shared" si="10"/>
        <v/>
      </c>
      <c r="AB149" s="28" t="str">
        <f t="shared" si="11"/>
        <v/>
      </c>
      <c r="AC149" s="23" t="str">
        <f>IF(AB149="","",IF(AB149&gt;=Panduan!$B$4,"Terserap","Perlu Evaluasi"))</f>
        <v/>
      </c>
      <c r="AD149" s="30"/>
      <c r="AE149" s="30"/>
      <c r="AF149" s="28" t="str">
        <f t="shared" si="12"/>
        <v/>
      </c>
      <c r="AG149" s="28" t="str">
        <f t="shared" si="13"/>
        <v/>
      </c>
      <c r="AH149" s="23" t="str">
        <f>IF(AG149="","",IF(AG149&gt;=Panduan!$B$4,"Terserap","Perlu Evaluasi"))</f>
        <v/>
      </c>
      <c r="AI149" s="29" t="str">
        <f t="shared" ref="AI149:AJ149" si="158">IF(COUNTA(J149,O149,T149,Y149,AD149)=0,"",SUM(J149,O149,T149,Y149,AD149))</f>
        <v/>
      </c>
      <c r="AJ149" s="29" t="str">
        <f t="shared" si="158"/>
        <v/>
      </c>
      <c r="AK149" s="28" t="str">
        <f t="shared" si="15"/>
        <v/>
      </c>
      <c r="AL149" s="28" t="str">
        <f t="shared" si="16"/>
        <v/>
      </c>
      <c r="AM149" s="23" t="str">
        <f>IF(AL149="","",IF(AL149&gt;=Panduan!$B$4,"Terserap","Perlu Evaluasi"))</f>
        <v/>
      </c>
    </row>
    <row r="150" ht="15.75" customHeight="1">
      <c r="A150" s="23" t="str">
        <f t="shared" si="2"/>
        <v/>
      </c>
      <c r="B150" s="33"/>
      <c r="C150" s="23" t="str">
        <f t="shared" si="3"/>
        <v/>
      </c>
      <c r="D150" s="31"/>
      <c r="E150" s="31"/>
      <c r="F150" s="31"/>
      <c r="G150" s="31"/>
      <c r="H150" s="31"/>
      <c r="I150" s="32"/>
      <c r="J150" s="30"/>
      <c r="K150" s="30"/>
      <c r="L150" s="28" t="str">
        <f t="shared" si="4"/>
        <v/>
      </c>
      <c r="M150" s="28" t="str">
        <f t="shared" si="5"/>
        <v/>
      </c>
      <c r="N150" s="23" t="str">
        <f>IF(M150="","",IF(M150&gt;=Panduan!$B$4,"Terserap","Perlu Evaluasi"))</f>
        <v/>
      </c>
      <c r="O150" s="30"/>
      <c r="P150" s="30"/>
      <c r="Q150" s="28" t="str">
        <f t="shared" si="6"/>
        <v/>
      </c>
      <c r="R150" s="28" t="str">
        <f t="shared" si="7"/>
        <v/>
      </c>
      <c r="S150" s="23" t="str">
        <f>IF(R150="","",IF(R150&gt;=Panduan!$B$4,"Terserap","Perlu Evaluasi"))</f>
        <v/>
      </c>
      <c r="T150" s="30"/>
      <c r="U150" s="30"/>
      <c r="V150" s="28" t="str">
        <f t="shared" si="8"/>
        <v/>
      </c>
      <c r="W150" s="28" t="str">
        <f t="shared" si="9"/>
        <v/>
      </c>
      <c r="X150" s="23" t="str">
        <f>IF(W150="","",IF(W150&gt;=Panduan!$B$4,"Terserap","Perlu Evaluasi"))</f>
        <v/>
      </c>
      <c r="Y150" s="30"/>
      <c r="Z150" s="30"/>
      <c r="AA150" s="28" t="str">
        <f t="shared" si="10"/>
        <v/>
      </c>
      <c r="AB150" s="28" t="str">
        <f t="shared" si="11"/>
        <v/>
      </c>
      <c r="AC150" s="23" t="str">
        <f>IF(AB150="","",IF(AB150&gt;=Panduan!$B$4,"Terserap","Perlu Evaluasi"))</f>
        <v/>
      </c>
      <c r="AD150" s="30"/>
      <c r="AE150" s="30"/>
      <c r="AF150" s="28" t="str">
        <f t="shared" si="12"/>
        <v/>
      </c>
      <c r="AG150" s="28" t="str">
        <f t="shared" si="13"/>
        <v/>
      </c>
      <c r="AH150" s="23" t="str">
        <f>IF(AG150="","",IF(AG150&gt;=Panduan!$B$4,"Terserap","Perlu Evaluasi"))</f>
        <v/>
      </c>
      <c r="AI150" s="29" t="str">
        <f t="shared" ref="AI150:AJ150" si="159">IF(COUNTA(J150,O150,T150,Y150,AD150)=0,"",SUM(J150,O150,T150,Y150,AD150))</f>
        <v/>
      </c>
      <c r="AJ150" s="29" t="str">
        <f t="shared" si="159"/>
        <v/>
      </c>
      <c r="AK150" s="28" t="str">
        <f t="shared" si="15"/>
        <v/>
      </c>
      <c r="AL150" s="28" t="str">
        <f t="shared" si="16"/>
        <v/>
      </c>
      <c r="AM150" s="23" t="str">
        <f>IF(AL150="","",IF(AL150&gt;=Panduan!$B$4,"Terserap","Perlu Evaluasi"))</f>
        <v/>
      </c>
    </row>
    <row r="151" ht="15.75" customHeight="1">
      <c r="A151" s="23" t="str">
        <f t="shared" si="2"/>
        <v/>
      </c>
      <c r="B151" s="33"/>
      <c r="C151" s="23" t="str">
        <f t="shared" si="3"/>
        <v/>
      </c>
      <c r="D151" s="31"/>
      <c r="E151" s="31"/>
      <c r="F151" s="31"/>
      <c r="G151" s="31"/>
      <c r="H151" s="31"/>
      <c r="I151" s="32"/>
      <c r="J151" s="30"/>
      <c r="K151" s="30"/>
      <c r="L151" s="28" t="str">
        <f t="shared" si="4"/>
        <v/>
      </c>
      <c r="M151" s="28" t="str">
        <f t="shared" si="5"/>
        <v/>
      </c>
      <c r="N151" s="23" t="str">
        <f>IF(M151="","",IF(M151&gt;=Panduan!$B$4,"Terserap","Perlu Evaluasi"))</f>
        <v/>
      </c>
      <c r="O151" s="30"/>
      <c r="P151" s="30"/>
      <c r="Q151" s="28" t="str">
        <f t="shared" si="6"/>
        <v/>
      </c>
      <c r="R151" s="28" t="str">
        <f t="shared" si="7"/>
        <v/>
      </c>
      <c r="S151" s="23" t="str">
        <f>IF(R151="","",IF(R151&gt;=Panduan!$B$4,"Terserap","Perlu Evaluasi"))</f>
        <v/>
      </c>
      <c r="T151" s="30"/>
      <c r="U151" s="30"/>
      <c r="V151" s="28" t="str">
        <f t="shared" si="8"/>
        <v/>
      </c>
      <c r="W151" s="28" t="str">
        <f t="shared" si="9"/>
        <v/>
      </c>
      <c r="X151" s="23" t="str">
        <f>IF(W151="","",IF(W151&gt;=Panduan!$B$4,"Terserap","Perlu Evaluasi"))</f>
        <v/>
      </c>
      <c r="Y151" s="30"/>
      <c r="Z151" s="30"/>
      <c r="AA151" s="28" t="str">
        <f t="shared" si="10"/>
        <v/>
      </c>
      <c r="AB151" s="28" t="str">
        <f t="shared" si="11"/>
        <v/>
      </c>
      <c r="AC151" s="23" t="str">
        <f>IF(AB151="","",IF(AB151&gt;=Panduan!$B$4,"Terserap","Perlu Evaluasi"))</f>
        <v/>
      </c>
      <c r="AD151" s="30"/>
      <c r="AE151" s="30"/>
      <c r="AF151" s="28" t="str">
        <f t="shared" si="12"/>
        <v/>
      </c>
      <c r="AG151" s="28" t="str">
        <f t="shared" si="13"/>
        <v/>
      </c>
      <c r="AH151" s="23" t="str">
        <f>IF(AG151="","",IF(AG151&gt;=Panduan!$B$4,"Terserap","Perlu Evaluasi"))</f>
        <v/>
      </c>
      <c r="AI151" s="29" t="str">
        <f t="shared" ref="AI151:AJ151" si="160">IF(COUNTA(J151,O151,T151,Y151,AD151)=0,"",SUM(J151,O151,T151,Y151,AD151))</f>
        <v/>
      </c>
      <c r="AJ151" s="29" t="str">
        <f t="shared" si="160"/>
        <v/>
      </c>
      <c r="AK151" s="28" t="str">
        <f t="shared" si="15"/>
        <v/>
      </c>
      <c r="AL151" s="28" t="str">
        <f t="shared" si="16"/>
        <v/>
      </c>
      <c r="AM151" s="23" t="str">
        <f>IF(AL151="","",IF(AL151&gt;=Panduan!$B$4,"Terserap","Perlu Evaluasi"))</f>
        <v/>
      </c>
    </row>
    <row r="152" ht="15.75" customHeight="1">
      <c r="A152" s="23" t="str">
        <f t="shared" si="2"/>
        <v/>
      </c>
      <c r="B152" s="33"/>
      <c r="C152" s="23" t="str">
        <f t="shared" si="3"/>
        <v/>
      </c>
      <c r="D152" s="31"/>
      <c r="E152" s="31"/>
      <c r="F152" s="31"/>
      <c r="G152" s="31"/>
      <c r="H152" s="31"/>
      <c r="I152" s="32"/>
      <c r="J152" s="30"/>
      <c r="K152" s="30"/>
      <c r="L152" s="28" t="str">
        <f t="shared" si="4"/>
        <v/>
      </c>
      <c r="M152" s="28" t="str">
        <f t="shared" si="5"/>
        <v/>
      </c>
      <c r="N152" s="23" t="str">
        <f>IF(M152="","",IF(M152&gt;=Panduan!$B$4,"Terserap","Perlu Evaluasi"))</f>
        <v/>
      </c>
      <c r="O152" s="30"/>
      <c r="P152" s="30"/>
      <c r="Q152" s="28" t="str">
        <f t="shared" si="6"/>
        <v/>
      </c>
      <c r="R152" s="28" t="str">
        <f t="shared" si="7"/>
        <v/>
      </c>
      <c r="S152" s="23" t="str">
        <f>IF(R152="","",IF(R152&gt;=Panduan!$B$4,"Terserap","Perlu Evaluasi"))</f>
        <v/>
      </c>
      <c r="T152" s="30"/>
      <c r="U152" s="30"/>
      <c r="V152" s="28" t="str">
        <f t="shared" si="8"/>
        <v/>
      </c>
      <c r="W152" s="28" t="str">
        <f t="shared" si="9"/>
        <v/>
      </c>
      <c r="X152" s="23" t="str">
        <f>IF(W152="","",IF(W152&gt;=Panduan!$B$4,"Terserap","Perlu Evaluasi"))</f>
        <v/>
      </c>
      <c r="Y152" s="30"/>
      <c r="Z152" s="30"/>
      <c r="AA152" s="28" t="str">
        <f t="shared" si="10"/>
        <v/>
      </c>
      <c r="AB152" s="28" t="str">
        <f t="shared" si="11"/>
        <v/>
      </c>
      <c r="AC152" s="23" t="str">
        <f>IF(AB152="","",IF(AB152&gt;=Panduan!$B$4,"Terserap","Perlu Evaluasi"))</f>
        <v/>
      </c>
      <c r="AD152" s="30"/>
      <c r="AE152" s="30"/>
      <c r="AF152" s="28" t="str">
        <f t="shared" si="12"/>
        <v/>
      </c>
      <c r="AG152" s="28" t="str">
        <f t="shared" si="13"/>
        <v/>
      </c>
      <c r="AH152" s="23" t="str">
        <f>IF(AG152="","",IF(AG152&gt;=Panduan!$B$4,"Terserap","Perlu Evaluasi"))</f>
        <v/>
      </c>
      <c r="AI152" s="29" t="str">
        <f t="shared" ref="AI152:AJ152" si="161">IF(COUNTA(J152,O152,T152,Y152,AD152)=0,"",SUM(J152,O152,T152,Y152,AD152))</f>
        <v/>
      </c>
      <c r="AJ152" s="29" t="str">
        <f t="shared" si="161"/>
        <v/>
      </c>
      <c r="AK152" s="28" t="str">
        <f t="shared" si="15"/>
        <v/>
      </c>
      <c r="AL152" s="28" t="str">
        <f t="shared" si="16"/>
        <v/>
      </c>
      <c r="AM152" s="23" t="str">
        <f>IF(AL152="","",IF(AL152&gt;=Panduan!$B$4,"Terserap","Perlu Evaluasi"))</f>
        <v/>
      </c>
    </row>
    <row r="153" ht="15.75" customHeight="1">
      <c r="A153" s="23" t="str">
        <f t="shared" si="2"/>
        <v/>
      </c>
      <c r="B153" s="33"/>
      <c r="C153" s="23" t="str">
        <f t="shared" si="3"/>
        <v/>
      </c>
      <c r="D153" s="31"/>
      <c r="E153" s="31"/>
      <c r="F153" s="31"/>
      <c r="G153" s="31"/>
      <c r="H153" s="31"/>
      <c r="I153" s="32"/>
      <c r="J153" s="30"/>
      <c r="K153" s="30"/>
      <c r="L153" s="28" t="str">
        <f t="shared" si="4"/>
        <v/>
      </c>
      <c r="M153" s="28" t="str">
        <f t="shared" si="5"/>
        <v/>
      </c>
      <c r="N153" s="23" t="str">
        <f>IF(M153="","",IF(M153&gt;=Panduan!$B$4,"Terserap","Perlu Evaluasi"))</f>
        <v/>
      </c>
      <c r="O153" s="30"/>
      <c r="P153" s="30"/>
      <c r="Q153" s="28" t="str">
        <f t="shared" si="6"/>
        <v/>
      </c>
      <c r="R153" s="28" t="str">
        <f t="shared" si="7"/>
        <v/>
      </c>
      <c r="S153" s="23" t="str">
        <f>IF(R153="","",IF(R153&gt;=Panduan!$B$4,"Terserap","Perlu Evaluasi"))</f>
        <v/>
      </c>
      <c r="T153" s="30"/>
      <c r="U153" s="30"/>
      <c r="V153" s="28" t="str">
        <f t="shared" si="8"/>
        <v/>
      </c>
      <c r="W153" s="28" t="str">
        <f t="shared" si="9"/>
        <v/>
      </c>
      <c r="X153" s="23" t="str">
        <f>IF(W153="","",IF(W153&gt;=Panduan!$B$4,"Terserap","Perlu Evaluasi"))</f>
        <v/>
      </c>
      <c r="Y153" s="30"/>
      <c r="Z153" s="30"/>
      <c r="AA153" s="28" t="str">
        <f t="shared" si="10"/>
        <v/>
      </c>
      <c r="AB153" s="28" t="str">
        <f t="shared" si="11"/>
        <v/>
      </c>
      <c r="AC153" s="23" t="str">
        <f>IF(AB153="","",IF(AB153&gt;=Panduan!$B$4,"Terserap","Perlu Evaluasi"))</f>
        <v/>
      </c>
      <c r="AD153" s="30"/>
      <c r="AE153" s="30"/>
      <c r="AF153" s="28" t="str">
        <f t="shared" si="12"/>
        <v/>
      </c>
      <c r="AG153" s="28" t="str">
        <f t="shared" si="13"/>
        <v/>
      </c>
      <c r="AH153" s="23" t="str">
        <f>IF(AG153="","",IF(AG153&gt;=Panduan!$B$4,"Terserap","Perlu Evaluasi"))</f>
        <v/>
      </c>
      <c r="AI153" s="29" t="str">
        <f t="shared" ref="AI153:AJ153" si="162">IF(COUNTA(J153,O153,T153,Y153,AD153)=0,"",SUM(J153,O153,T153,Y153,AD153))</f>
        <v/>
      </c>
      <c r="AJ153" s="29" t="str">
        <f t="shared" si="162"/>
        <v/>
      </c>
      <c r="AK153" s="28" t="str">
        <f t="shared" si="15"/>
        <v/>
      </c>
      <c r="AL153" s="28" t="str">
        <f t="shared" si="16"/>
        <v/>
      </c>
      <c r="AM153" s="23" t="str">
        <f>IF(AL153="","",IF(AL153&gt;=Panduan!$B$4,"Terserap","Perlu Evaluasi"))</f>
        <v/>
      </c>
    </row>
    <row r="154" ht="15.75" customHeight="1">
      <c r="A154" s="23" t="str">
        <f t="shared" si="2"/>
        <v/>
      </c>
      <c r="B154" s="33"/>
      <c r="C154" s="23" t="str">
        <f t="shared" si="3"/>
        <v/>
      </c>
      <c r="D154" s="31"/>
      <c r="E154" s="31"/>
      <c r="F154" s="31"/>
      <c r="G154" s="31"/>
      <c r="H154" s="31"/>
      <c r="I154" s="32"/>
      <c r="J154" s="30"/>
      <c r="K154" s="30"/>
      <c r="L154" s="28" t="str">
        <f t="shared" si="4"/>
        <v/>
      </c>
      <c r="M154" s="28" t="str">
        <f t="shared" si="5"/>
        <v/>
      </c>
      <c r="N154" s="23" t="str">
        <f>IF(M154="","",IF(M154&gt;=Panduan!$B$4,"Terserap","Perlu Evaluasi"))</f>
        <v/>
      </c>
      <c r="O154" s="30"/>
      <c r="P154" s="30"/>
      <c r="Q154" s="28" t="str">
        <f t="shared" si="6"/>
        <v/>
      </c>
      <c r="R154" s="28" t="str">
        <f t="shared" si="7"/>
        <v/>
      </c>
      <c r="S154" s="23" t="str">
        <f>IF(R154="","",IF(R154&gt;=Panduan!$B$4,"Terserap","Perlu Evaluasi"))</f>
        <v/>
      </c>
      <c r="T154" s="30"/>
      <c r="U154" s="30"/>
      <c r="V154" s="28" t="str">
        <f t="shared" si="8"/>
        <v/>
      </c>
      <c r="W154" s="28" t="str">
        <f t="shared" si="9"/>
        <v/>
      </c>
      <c r="X154" s="23" t="str">
        <f>IF(W154="","",IF(W154&gt;=Panduan!$B$4,"Terserap","Perlu Evaluasi"))</f>
        <v/>
      </c>
      <c r="Y154" s="30"/>
      <c r="Z154" s="30"/>
      <c r="AA154" s="28" t="str">
        <f t="shared" si="10"/>
        <v/>
      </c>
      <c r="AB154" s="28" t="str">
        <f t="shared" si="11"/>
        <v/>
      </c>
      <c r="AC154" s="23" t="str">
        <f>IF(AB154="","",IF(AB154&gt;=Panduan!$B$4,"Terserap","Perlu Evaluasi"))</f>
        <v/>
      </c>
      <c r="AD154" s="30"/>
      <c r="AE154" s="30"/>
      <c r="AF154" s="28" t="str">
        <f t="shared" si="12"/>
        <v/>
      </c>
      <c r="AG154" s="28" t="str">
        <f t="shared" si="13"/>
        <v/>
      </c>
      <c r="AH154" s="23" t="str">
        <f>IF(AG154="","",IF(AG154&gt;=Panduan!$B$4,"Terserap","Perlu Evaluasi"))</f>
        <v/>
      </c>
      <c r="AI154" s="29" t="str">
        <f t="shared" ref="AI154:AJ154" si="163">IF(COUNTA(J154,O154,T154,Y154,AD154)=0,"",SUM(J154,O154,T154,Y154,AD154))</f>
        <v/>
      </c>
      <c r="AJ154" s="29" t="str">
        <f t="shared" si="163"/>
        <v/>
      </c>
      <c r="AK154" s="28" t="str">
        <f t="shared" si="15"/>
        <v/>
      </c>
      <c r="AL154" s="28" t="str">
        <f t="shared" si="16"/>
        <v/>
      </c>
      <c r="AM154" s="23" t="str">
        <f>IF(AL154="","",IF(AL154&gt;=Panduan!$B$4,"Terserap","Perlu Evaluasi"))</f>
        <v/>
      </c>
    </row>
    <row r="155" ht="15.75" customHeight="1">
      <c r="A155" s="23" t="str">
        <f t="shared" si="2"/>
        <v/>
      </c>
      <c r="B155" s="33"/>
      <c r="C155" s="23" t="str">
        <f t="shared" si="3"/>
        <v/>
      </c>
      <c r="D155" s="31"/>
      <c r="E155" s="31"/>
      <c r="F155" s="31"/>
      <c r="G155" s="31"/>
      <c r="H155" s="31"/>
      <c r="I155" s="32"/>
      <c r="J155" s="30"/>
      <c r="K155" s="30"/>
      <c r="L155" s="28" t="str">
        <f t="shared" si="4"/>
        <v/>
      </c>
      <c r="M155" s="28" t="str">
        <f t="shared" si="5"/>
        <v/>
      </c>
      <c r="N155" s="23" t="str">
        <f>IF(M155="","",IF(M155&gt;=Panduan!$B$4,"Terserap","Perlu Evaluasi"))</f>
        <v/>
      </c>
      <c r="O155" s="30"/>
      <c r="P155" s="30"/>
      <c r="Q155" s="28" t="str">
        <f t="shared" si="6"/>
        <v/>
      </c>
      <c r="R155" s="28" t="str">
        <f t="shared" si="7"/>
        <v/>
      </c>
      <c r="S155" s="23" t="str">
        <f>IF(R155="","",IF(R155&gt;=Panduan!$B$4,"Terserap","Perlu Evaluasi"))</f>
        <v/>
      </c>
      <c r="T155" s="30"/>
      <c r="U155" s="30"/>
      <c r="V155" s="28" t="str">
        <f t="shared" si="8"/>
        <v/>
      </c>
      <c r="W155" s="28" t="str">
        <f t="shared" si="9"/>
        <v/>
      </c>
      <c r="X155" s="23" t="str">
        <f>IF(W155="","",IF(W155&gt;=Panduan!$B$4,"Terserap","Perlu Evaluasi"))</f>
        <v/>
      </c>
      <c r="Y155" s="30"/>
      <c r="Z155" s="30"/>
      <c r="AA155" s="28" t="str">
        <f t="shared" si="10"/>
        <v/>
      </c>
      <c r="AB155" s="28" t="str">
        <f t="shared" si="11"/>
        <v/>
      </c>
      <c r="AC155" s="23" t="str">
        <f>IF(AB155="","",IF(AB155&gt;=Panduan!$B$4,"Terserap","Perlu Evaluasi"))</f>
        <v/>
      </c>
      <c r="AD155" s="30"/>
      <c r="AE155" s="30"/>
      <c r="AF155" s="28" t="str">
        <f t="shared" si="12"/>
        <v/>
      </c>
      <c r="AG155" s="28" t="str">
        <f t="shared" si="13"/>
        <v/>
      </c>
      <c r="AH155" s="23" t="str">
        <f>IF(AG155="","",IF(AG155&gt;=Panduan!$B$4,"Terserap","Perlu Evaluasi"))</f>
        <v/>
      </c>
      <c r="AI155" s="29" t="str">
        <f t="shared" ref="AI155:AJ155" si="164">IF(COUNTA(J155,O155,T155,Y155,AD155)=0,"",SUM(J155,O155,T155,Y155,AD155))</f>
        <v/>
      </c>
      <c r="AJ155" s="29" t="str">
        <f t="shared" si="164"/>
        <v/>
      </c>
      <c r="AK155" s="28" t="str">
        <f t="shared" si="15"/>
        <v/>
      </c>
      <c r="AL155" s="28" t="str">
        <f t="shared" si="16"/>
        <v/>
      </c>
      <c r="AM155" s="23" t="str">
        <f>IF(AL155="","",IF(AL155&gt;=Panduan!$B$4,"Terserap","Perlu Evaluasi"))</f>
        <v/>
      </c>
    </row>
    <row r="156" ht="15.75" customHeight="1">
      <c r="A156" s="23" t="str">
        <f t="shared" si="2"/>
        <v/>
      </c>
      <c r="B156" s="33"/>
      <c r="C156" s="23" t="str">
        <f t="shared" si="3"/>
        <v/>
      </c>
      <c r="D156" s="31"/>
      <c r="E156" s="31"/>
      <c r="F156" s="31"/>
      <c r="G156" s="31"/>
      <c r="H156" s="31"/>
      <c r="I156" s="32"/>
      <c r="J156" s="30"/>
      <c r="K156" s="30"/>
      <c r="L156" s="28" t="str">
        <f t="shared" si="4"/>
        <v/>
      </c>
      <c r="M156" s="28" t="str">
        <f t="shared" si="5"/>
        <v/>
      </c>
      <c r="N156" s="23" t="str">
        <f>IF(M156="","",IF(M156&gt;=Panduan!$B$4,"Terserap","Perlu Evaluasi"))</f>
        <v/>
      </c>
      <c r="O156" s="30"/>
      <c r="P156" s="30"/>
      <c r="Q156" s="28" t="str">
        <f t="shared" si="6"/>
        <v/>
      </c>
      <c r="R156" s="28" t="str">
        <f t="shared" si="7"/>
        <v/>
      </c>
      <c r="S156" s="23" t="str">
        <f>IF(R156="","",IF(R156&gt;=Panduan!$B$4,"Terserap","Perlu Evaluasi"))</f>
        <v/>
      </c>
      <c r="T156" s="30"/>
      <c r="U156" s="30"/>
      <c r="V156" s="28" t="str">
        <f t="shared" si="8"/>
        <v/>
      </c>
      <c r="W156" s="28" t="str">
        <f t="shared" si="9"/>
        <v/>
      </c>
      <c r="X156" s="23" t="str">
        <f>IF(W156="","",IF(W156&gt;=Panduan!$B$4,"Terserap","Perlu Evaluasi"))</f>
        <v/>
      </c>
      <c r="Y156" s="30"/>
      <c r="Z156" s="30"/>
      <c r="AA156" s="28" t="str">
        <f t="shared" si="10"/>
        <v/>
      </c>
      <c r="AB156" s="28" t="str">
        <f t="shared" si="11"/>
        <v/>
      </c>
      <c r="AC156" s="23" t="str">
        <f>IF(AB156="","",IF(AB156&gt;=Panduan!$B$4,"Terserap","Perlu Evaluasi"))</f>
        <v/>
      </c>
      <c r="AD156" s="30"/>
      <c r="AE156" s="30"/>
      <c r="AF156" s="28" t="str">
        <f t="shared" si="12"/>
        <v/>
      </c>
      <c r="AG156" s="28" t="str">
        <f t="shared" si="13"/>
        <v/>
      </c>
      <c r="AH156" s="23" t="str">
        <f>IF(AG156="","",IF(AG156&gt;=Panduan!$B$4,"Terserap","Perlu Evaluasi"))</f>
        <v/>
      </c>
      <c r="AI156" s="29" t="str">
        <f t="shared" ref="AI156:AJ156" si="165">IF(COUNTA(J156,O156,T156,Y156,AD156)=0,"",SUM(J156,O156,T156,Y156,AD156))</f>
        <v/>
      </c>
      <c r="AJ156" s="29" t="str">
        <f t="shared" si="165"/>
        <v/>
      </c>
      <c r="AK156" s="28" t="str">
        <f t="shared" si="15"/>
        <v/>
      </c>
      <c r="AL156" s="28" t="str">
        <f t="shared" si="16"/>
        <v/>
      </c>
      <c r="AM156" s="23" t="str">
        <f>IF(AL156="","",IF(AL156&gt;=Panduan!$B$4,"Terserap","Perlu Evaluasi"))</f>
        <v/>
      </c>
    </row>
    <row r="157" ht="15.75" customHeight="1">
      <c r="A157" s="23" t="str">
        <f t="shared" si="2"/>
        <v/>
      </c>
      <c r="B157" s="33"/>
      <c r="C157" s="23" t="str">
        <f t="shared" si="3"/>
        <v/>
      </c>
      <c r="D157" s="31"/>
      <c r="E157" s="31"/>
      <c r="F157" s="31"/>
      <c r="G157" s="31"/>
      <c r="H157" s="31"/>
      <c r="I157" s="32"/>
      <c r="J157" s="30"/>
      <c r="K157" s="30"/>
      <c r="L157" s="28" t="str">
        <f t="shared" si="4"/>
        <v/>
      </c>
      <c r="M157" s="28" t="str">
        <f t="shared" si="5"/>
        <v/>
      </c>
      <c r="N157" s="23" t="str">
        <f>IF(M157="","",IF(M157&gt;=Panduan!$B$4,"Terserap","Perlu Evaluasi"))</f>
        <v/>
      </c>
      <c r="O157" s="30"/>
      <c r="P157" s="30"/>
      <c r="Q157" s="28" t="str">
        <f t="shared" si="6"/>
        <v/>
      </c>
      <c r="R157" s="28" t="str">
        <f t="shared" si="7"/>
        <v/>
      </c>
      <c r="S157" s="23" t="str">
        <f>IF(R157="","",IF(R157&gt;=Panduan!$B$4,"Terserap","Perlu Evaluasi"))</f>
        <v/>
      </c>
      <c r="T157" s="30"/>
      <c r="U157" s="30"/>
      <c r="V157" s="28" t="str">
        <f t="shared" si="8"/>
        <v/>
      </c>
      <c r="W157" s="28" t="str">
        <f t="shared" si="9"/>
        <v/>
      </c>
      <c r="X157" s="23" t="str">
        <f>IF(W157="","",IF(W157&gt;=Panduan!$B$4,"Terserap","Perlu Evaluasi"))</f>
        <v/>
      </c>
      <c r="Y157" s="30"/>
      <c r="Z157" s="30"/>
      <c r="AA157" s="28" t="str">
        <f t="shared" si="10"/>
        <v/>
      </c>
      <c r="AB157" s="28" t="str">
        <f t="shared" si="11"/>
        <v/>
      </c>
      <c r="AC157" s="23" t="str">
        <f>IF(AB157="","",IF(AB157&gt;=Panduan!$B$4,"Terserap","Perlu Evaluasi"))</f>
        <v/>
      </c>
      <c r="AD157" s="30"/>
      <c r="AE157" s="30"/>
      <c r="AF157" s="28" t="str">
        <f t="shared" si="12"/>
        <v/>
      </c>
      <c r="AG157" s="28" t="str">
        <f t="shared" si="13"/>
        <v/>
      </c>
      <c r="AH157" s="23" t="str">
        <f>IF(AG157="","",IF(AG157&gt;=Panduan!$B$4,"Terserap","Perlu Evaluasi"))</f>
        <v/>
      </c>
      <c r="AI157" s="29" t="str">
        <f t="shared" ref="AI157:AJ157" si="166">IF(COUNTA(J157,O157,T157,Y157,AD157)=0,"",SUM(J157,O157,T157,Y157,AD157))</f>
        <v/>
      </c>
      <c r="AJ157" s="29" t="str">
        <f t="shared" si="166"/>
        <v/>
      </c>
      <c r="AK157" s="28" t="str">
        <f t="shared" si="15"/>
        <v/>
      </c>
      <c r="AL157" s="28" t="str">
        <f t="shared" si="16"/>
        <v/>
      </c>
      <c r="AM157" s="23" t="str">
        <f>IF(AL157="","",IF(AL157&gt;=Panduan!$B$4,"Terserap","Perlu Evaluasi"))</f>
        <v/>
      </c>
    </row>
    <row r="158" ht="15.75" customHeight="1">
      <c r="A158" s="23" t="str">
        <f t="shared" si="2"/>
        <v/>
      </c>
      <c r="B158" s="33"/>
      <c r="C158" s="23" t="str">
        <f t="shared" si="3"/>
        <v/>
      </c>
      <c r="D158" s="31"/>
      <c r="E158" s="31"/>
      <c r="F158" s="31"/>
      <c r="G158" s="31"/>
      <c r="H158" s="31"/>
      <c r="I158" s="32"/>
      <c r="J158" s="30"/>
      <c r="K158" s="30"/>
      <c r="L158" s="28" t="str">
        <f t="shared" si="4"/>
        <v/>
      </c>
      <c r="M158" s="28" t="str">
        <f t="shared" si="5"/>
        <v/>
      </c>
      <c r="N158" s="23" t="str">
        <f>IF(M158="","",IF(M158&gt;=Panduan!$B$4,"Terserap","Perlu Evaluasi"))</f>
        <v/>
      </c>
      <c r="O158" s="30"/>
      <c r="P158" s="30"/>
      <c r="Q158" s="28" t="str">
        <f t="shared" si="6"/>
        <v/>
      </c>
      <c r="R158" s="28" t="str">
        <f t="shared" si="7"/>
        <v/>
      </c>
      <c r="S158" s="23" t="str">
        <f>IF(R158="","",IF(R158&gt;=Panduan!$B$4,"Terserap","Perlu Evaluasi"))</f>
        <v/>
      </c>
      <c r="T158" s="30"/>
      <c r="U158" s="30"/>
      <c r="V158" s="28" t="str">
        <f t="shared" si="8"/>
        <v/>
      </c>
      <c r="W158" s="28" t="str">
        <f t="shared" si="9"/>
        <v/>
      </c>
      <c r="X158" s="23" t="str">
        <f>IF(W158="","",IF(W158&gt;=Panduan!$B$4,"Terserap","Perlu Evaluasi"))</f>
        <v/>
      </c>
      <c r="Y158" s="30"/>
      <c r="Z158" s="30"/>
      <c r="AA158" s="28" t="str">
        <f t="shared" si="10"/>
        <v/>
      </c>
      <c r="AB158" s="28" t="str">
        <f t="shared" si="11"/>
        <v/>
      </c>
      <c r="AC158" s="23" t="str">
        <f>IF(AB158="","",IF(AB158&gt;=Panduan!$B$4,"Terserap","Perlu Evaluasi"))</f>
        <v/>
      </c>
      <c r="AD158" s="30"/>
      <c r="AE158" s="30"/>
      <c r="AF158" s="28" t="str">
        <f t="shared" si="12"/>
        <v/>
      </c>
      <c r="AG158" s="28" t="str">
        <f t="shared" si="13"/>
        <v/>
      </c>
      <c r="AH158" s="23" t="str">
        <f>IF(AG158="","",IF(AG158&gt;=Panduan!$B$4,"Terserap","Perlu Evaluasi"))</f>
        <v/>
      </c>
      <c r="AI158" s="29" t="str">
        <f t="shared" ref="AI158:AJ158" si="167">IF(COUNTA(J158,O158,T158,Y158,AD158)=0,"",SUM(J158,O158,T158,Y158,AD158))</f>
        <v/>
      </c>
      <c r="AJ158" s="29" t="str">
        <f t="shared" si="167"/>
        <v/>
      </c>
      <c r="AK158" s="28" t="str">
        <f t="shared" si="15"/>
        <v/>
      </c>
      <c r="AL158" s="28" t="str">
        <f t="shared" si="16"/>
        <v/>
      </c>
      <c r="AM158" s="23" t="str">
        <f>IF(AL158="","",IF(AL158&gt;=Panduan!$B$4,"Terserap","Perlu Evaluasi"))</f>
        <v/>
      </c>
    </row>
    <row r="159" ht="15.75" customHeight="1">
      <c r="A159" s="23" t="str">
        <f t="shared" si="2"/>
        <v/>
      </c>
      <c r="B159" s="33"/>
      <c r="C159" s="23" t="str">
        <f t="shared" si="3"/>
        <v/>
      </c>
      <c r="D159" s="31"/>
      <c r="E159" s="31"/>
      <c r="F159" s="31"/>
      <c r="G159" s="31"/>
      <c r="H159" s="31"/>
      <c r="I159" s="32"/>
      <c r="J159" s="30"/>
      <c r="K159" s="30"/>
      <c r="L159" s="28" t="str">
        <f t="shared" si="4"/>
        <v/>
      </c>
      <c r="M159" s="28" t="str">
        <f t="shared" si="5"/>
        <v/>
      </c>
      <c r="N159" s="23" t="str">
        <f>IF(M159="","",IF(M159&gt;=Panduan!$B$4,"Terserap","Perlu Evaluasi"))</f>
        <v/>
      </c>
      <c r="O159" s="30"/>
      <c r="P159" s="30"/>
      <c r="Q159" s="28" t="str">
        <f t="shared" si="6"/>
        <v/>
      </c>
      <c r="R159" s="28" t="str">
        <f t="shared" si="7"/>
        <v/>
      </c>
      <c r="S159" s="23" t="str">
        <f>IF(R159="","",IF(R159&gt;=Panduan!$B$4,"Terserap","Perlu Evaluasi"))</f>
        <v/>
      </c>
      <c r="T159" s="30"/>
      <c r="U159" s="30"/>
      <c r="V159" s="28" t="str">
        <f t="shared" si="8"/>
        <v/>
      </c>
      <c r="W159" s="28" t="str">
        <f t="shared" si="9"/>
        <v/>
      </c>
      <c r="X159" s="23" t="str">
        <f>IF(W159="","",IF(W159&gt;=Panduan!$B$4,"Terserap","Perlu Evaluasi"))</f>
        <v/>
      </c>
      <c r="Y159" s="30"/>
      <c r="Z159" s="30"/>
      <c r="AA159" s="28" t="str">
        <f t="shared" si="10"/>
        <v/>
      </c>
      <c r="AB159" s="28" t="str">
        <f t="shared" si="11"/>
        <v/>
      </c>
      <c r="AC159" s="23" t="str">
        <f>IF(AB159="","",IF(AB159&gt;=Panduan!$B$4,"Terserap","Perlu Evaluasi"))</f>
        <v/>
      </c>
      <c r="AD159" s="30"/>
      <c r="AE159" s="30"/>
      <c r="AF159" s="28" t="str">
        <f t="shared" si="12"/>
        <v/>
      </c>
      <c r="AG159" s="28" t="str">
        <f t="shared" si="13"/>
        <v/>
      </c>
      <c r="AH159" s="23" t="str">
        <f>IF(AG159="","",IF(AG159&gt;=Panduan!$B$4,"Terserap","Perlu Evaluasi"))</f>
        <v/>
      </c>
      <c r="AI159" s="29" t="str">
        <f t="shared" ref="AI159:AJ159" si="168">IF(COUNTA(J159,O159,T159,Y159,AD159)=0,"",SUM(J159,O159,T159,Y159,AD159))</f>
        <v/>
      </c>
      <c r="AJ159" s="29" t="str">
        <f t="shared" si="168"/>
        <v/>
      </c>
      <c r="AK159" s="28" t="str">
        <f t="shared" si="15"/>
        <v/>
      </c>
      <c r="AL159" s="28" t="str">
        <f t="shared" si="16"/>
        <v/>
      </c>
      <c r="AM159" s="23" t="str">
        <f>IF(AL159="","",IF(AL159&gt;=Panduan!$B$4,"Terserap","Perlu Evaluasi"))</f>
        <v/>
      </c>
    </row>
    <row r="160" ht="15.75" customHeight="1">
      <c r="A160" s="23" t="str">
        <f t="shared" si="2"/>
        <v/>
      </c>
      <c r="B160" s="33"/>
      <c r="C160" s="23" t="str">
        <f t="shared" si="3"/>
        <v/>
      </c>
      <c r="D160" s="31"/>
      <c r="E160" s="31"/>
      <c r="F160" s="31"/>
      <c r="G160" s="31"/>
      <c r="H160" s="31"/>
      <c r="I160" s="32"/>
      <c r="J160" s="30"/>
      <c r="K160" s="30"/>
      <c r="L160" s="28" t="str">
        <f t="shared" si="4"/>
        <v/>
      </c>
      <c r="M160" s="28" t="str">
        <f t="shared" si="5"/>
        <v/>
      </c>
      <c r="N160" s="23" t="str">
        <f>IF(M160="","",IF(M160&gt;=Panduan!$B$4,"Terserap","Perlu Evaluasi"))</f>
        <v/>
      </c>
      <c r="O160" s="30"/>
      <c r="P160" s="30"/>
      <c r="Q160" s="28" t="str">
        <f t="shared" si="6"/>
        <v/>
      </c>
      <c r="R160" s="28" t="str">
        <f t="shared" si="7"/>
        <v/>
      </c>
      <c r="S160" s="23" t="str">
        <f>IF(R160="","",IF(R160&gt;=Panduan!$B$4,"Terserap","Perlu Evaluasi"))</f>
        <v/>
      </c>
      <c r="T160" s="30"/>
      <c r="U160" s="30"/>
      <c r="V160" s="28" t="str">
        <f t="shared" si="8"/>
        <v/>
      </c>
      <c r="W160" s="28" t="str">
        <f t="shared" si="9"/>
        <v/>
      </c>
      <c r="X160" s="23" t="str">
        <f>IF(W160="","",IF(W160&gt;=Panduan!$B$4,"Terserap","Perlu Evaluasi"))</f>
        <v/>
      </c>
      <c r="Y160" s="30"/>
      <c r="Z160" s="30"/>
      <c r="AA160" s="28" t="str">
        <f t="shared" si="10"/>
        <v/>
      </c>
      <c r="AB160" s="28" t="str">
        <f t="shared" si="11"/>
        <v/>
      </c>
      <c r="AC160" s="23" t="str">
        <f>IF(AB160="","",IF(AB160&gt;=Panduan!$B$4,"Terserap","Perlu Evaluasi"))</f>
        <v/>
      </c>
      <c r="AD160" s="30"/>
      <c r="AE160" s="30"/>
      <c r="AF160" s="28" t="str">
        <f t="shared" si="12"/>
        <v/>
      </c>
      <c r="AG160" s="28" t="str">
        <f t="shared" si="13"/>
        <v/>
      </c>
      <c r="AH160" s="23" t="str">
        <f>IF(AG160="","",IF(AG160&gt;=Panduan!$B$4,"Terserap","Perlu Evaluasi"))</f>
        <v/>
      </c>
      <c r="AI160" s="29" t="str">
        <f t="shared" ref="AI160:AJ160" si="169">IF(COUNTA(J160,O160,T160,Y160,AD160)=0,"",SUM(J160,O160,T160,Y160,AD160))</f>
        <v/>
      </c>
      <c r="AJ160" s="29" t="str">
        <f t="shared" si="169"/>
        <v/>
      </c>
      <c r="AK160" s="28" t="str">
        <f t="shared" si="15"/>
        <v/>
      </c>
      <c r="AL160" s="28" t="str">
        <f t="shared" si="16"/>
        <v/>
      </c>
      <c r="AM160" s="23" t="str">
        <f>IF(AL160="","",IF(AL160&gt;=Panduan!$B$4,"Terserap","Perlu Evaluasi"))</f>
        <v/>
      </c>
    </row>
    <row r="161" ht="15.75" customHeight="1">
      <c r="A161" s="23" t="str">
        <f t="shared" si="2"/>
        <v/>
      </c>
      <c r="B161" s="33"/>
      <c r="C161" s="23" t="str">
        <f t="shared" si="3"/>
        <v/>
      </c>
      <c r="D161" s="31"/>
      <c r="E161" s="31"/>
      <c r="F161" s="31"/>
      <c r="G161" s="31"/>
      <c r="H161" s="31"/>
      <c r="I161" s="32"/>
      <c r="J161" s="30"/>
      <c r="K161" s="30"/>
      <c r="L161" s="28" t="str">
        <f t="shared" si="4"/>
        <v/>
      </c>
      <c r="M161" s="28" t="str">
        <f t="shared" si="5"/>
        <v/>
      </c>
      <c r="N161" s="23" t="str">
        <f>IF(M161="","",IF(M161&gt;=Panduan!$B$4,"Terserap","Perlu Evaluasi"))</f>
        <v/>
      </c>
      <c r="O161" s="30"/>
      <c r="P161" s="30"/>
      <c r="Q161" s="28" t="str">
        <f t="shared" si="6"/>
        <v/>
      </c>
      <c r="R161" s="28" t="str">
        <f t="shared" si="7"/>
        <v/>
      </c>
      <c r="S161" s="23" t="str">
        <f>IF(R161="","",IF(R161&gt;=Panduan!$B$4,"Terserap","Perlu Evaluasi"))</f>
        <v/>
      </c>
      <c r="T161" s="30"/>
      <c r="U161" s="30"/>
      <c r="V161" s="28" t="str">
        <f t="shared" si="8"/>
        <v/>
      </c>
      <c r="W161" s="28" t="str">
        <f t="shared" si="9"/>
        <v/>
      </c>
      <c r="X161" s="23" t="str">
        <f>IF(W161="","",IF(W161&gt;=Panduan!$B$4,"Terserap","Perlu Evaluasi"))</f>
        <v/>
      </c>
      <c r="Y161" s="30"/>
      <c r="Z161" s="30"/>
      <c r="AA161" s="28" t="str">
        <f t="shared" si="10"/>
        <v/>
      </c>
      <c r="AB161" s="28" t="str">
        <f t="shared" si="11"/>
        <v/>
      </c>
      <c r="AC161" s="23" t="str">
        <f>IF(AB161="","",IF(AB161&gt;=Panduan!$B$4,"Terserap","Perlu Evaluasi"))</f>
        <v/>
      </c>
      <c r="AD161" s="30"/>
      <c r="AE161" s="30"/>
      <c r="AF161" s="28" t="str">
        <f t="shared" si="12"/>
        <v/>
      </c>
      <c r="AG161" s="28" t="str">
        <f t="shared" si="13"/>
        <v/>
      </c>
      <c r="AH161" s="23" t="str">
        <f>IF(AG161="","",IF(AG161&gt;=Panduan!$B$4,"Terserap","Perlu Evaluasi"))</f>
        <v/>
      </c>
      <c r="AI161" s="29" t="str">
        <f t="shared" ref="AI161:AJ161" si="170">IF(COUNTA(J161,O161,T161,Y161,AD161)=0,"",SUM(J161,O161,T161,Y161,AD161))</f>
        <v/>
      </c>
      <c r="AJ161" s="29" t="str">
        <f t="shared" si="170"/>
        <v/>
      </c>
      <c r="AK161" s="28" t="str">
        <f t="shared" si="15"/>
        <v/>
      </c>
      <c r="AL161" s="28" t="str">
        <f t="shared" si="16"/>
        <v/>
      </c>
      <c r="AM161" s="23" t="str">
        <f>IF(AL161="","",IF(AL161&gt;=Panduan!$B$4,"Terserap","Perlu Evaluasi"))</f>
        <v/>
      </c>
    </row>
    <row r="162" ht="15.75" customHeight="1">
      <c r="A162" s="23" t="str">
        <f t="shared" si="2"/>
        <v/>
      </c>
      <c r="B162" s="33"/>
      <c r="C162" s="23" t="str">
        <f t="shared" si="3"/>
        <v/>
      </c>
      <c r="D162" s="31"/>
      <c r="E162" s="31"/>
      <c r="F162" s="31"/>
      <c r="G162" s="31"/>
      <c r="H162" s="31"/>
      <c r="I162" s="32"/>
      <c r="J162" s="30"/>
      <c r="K162" s="30"/>
      <c r="L162" s="28" t="str">
        <f t="shared" si="4"/>
        <v/>
      </c>
      <c r="M162" s="28" t="str">
        <f t="shared" si="5"/>
        <v/>
      </c>
      <c r="N162" s="23" t="str">
        <f>IF(M162="","",IF(M162&gt;=Panduan!$B$4,"Terserap","Perlu Evaluasi"))</f>
        <v/>
      </c>
      <c r="O162" s="30"/>
      <c r="P162" s="30"/>
      <c r="Q162" s="28" t="str">
        <f t="shared" si="6"/>
        <v/>
      </c>
      <c r="R162" s="28" t="str">
        <f t="shared" si="7"/>
        <v/>
      </c>
      <c r="S162" s="23" t="str">
        <f>IF(R162="","",IF(R162&gt;=Panduan!$B$4,"Terserap","Perlu Evaluasi"))</f>
        <v/>
      </c>
      <c r="T162" s="30"/>
      <c r="U162" s="30"/>
      <c r="V162" s="28" t="str">
        <f t="shared" si="8"/>
        <v/>
      </c>
      <c r="W162" s="28" t="str">
        <f t="shared" si="9"/>
        <v/>
      </c>
      <c r="X162" s="23" t="str">
        <f>IF(W162="","",IF(W162&gt;=Panduan!$B$4,"Terserap","Perlu Evaluasi"))</f>
        <v/>
      </c>
      <c r="Y162" s="30"/>
      <c r="Z162" s="30"/>
      <c r="AA162" s="28" t="str">
        <f t="shared" si="10"/>
        <v/>
      </c>
      <c r="AB162" s="28" t="str">
        <f t="shared" si="11"/>
        <v/>
      </c>
      <c r="AC162" s="23" t="str">
        <f>IF(AB162="","",IF(AB162&gt;=Panduan!$B$4,"Terserap","Perlu Evaluasi"))</f>
        <v/>
      </c>
      <c r="AD162" s="30"/>
      <c r="AE162" s="30"/>
      <c r="AF162" s="28" t="str">
        <f t="shared" si="12"/>
        <v/>
      </c>
      <c r="AG162" s="28" t="str">
        <f t="shared" si="13"/>
        <v/>
      </c>
      <c r="AH162" s="23" t="str">
        <f>IF(AG162="","",IF(AG162&gt;=Panduan!$B$4,"Terserap","Perlu Evaluasi"))</f>
        <v/>
      </c>
      <c r="AI162" s="29" t="str">
        <f t="shared" ref="AI162:AJ162" si="171">IF(COUNTA(J162,O162,T162,Y162,AD162)=0,"",SUM(J162,O162,T162,Y162,AD162))</f>
        <v/>
      </c>
      <c r="AJ162" s="29" t="str">
        <f t="shared" si="171"/>
        <v/>
      </c>
      <c r="AK162" s="28" t="str">
        <f t="shared" si="15"/>
        <v/>
      </c>
      <c r="AL162" s="28" t="str">
        <f t="shared" si="16"/>
        <v/>
      </c>
      <c r="AM162" s="23" t="str">
        <f>IF(AL162="","",IF(AL162&gt;=Panduan!$B$4,"Terserap","Perlu Evaluasi"))</f>
        <v/>
      </c>
    </row>
    <row r="163" ht="15.75" customHeight="1">
      <c r="A163" s="23" t="str">
        <f t="shared" si="2"/>
        <v/>
      </c>
      <c r="B163" s="33"/>
      <c r="C163" s="23" t="str">
        <f t="shared" si="3"/>
        <v/>
      </c>
      <c r="D163" s="31"/>
      <c r="E163" s="31"/>
      <c r="F163" s="31"/>
      <c r="G163" s="31"/>
      <c r="H163" s="31"/>
      <c r="I163" s="32"/>
      <c r="J163" s="30"/>
      <c r="K163" s="30"/>
      <c r="L163" s="28" t="str">
        <f t="shared" si="4"/>
        <v/>
      </c>
      <c r="M163" s="28" t="str">
        <f t="shared" si="5"/>
        <v/>
      </c>
      <c r="N163" s="23" t="str">
        <f>IF(M163="","",IF(M163&gt;=Panduan!$B$4,"Terserap","Perlu Evaluasi"))</f>
        <v/>
      </c>
      <c r="O163" s="30"/>
      <c r="P163" s="30"/>
      <c r="Q163" s="28" t="str">
        <f t="shared" si="6"/>
        <v/>
      </c>
      <c r="R163" s="28" t="str">
        <f t="shared" si="7"/>
        <v/>
      </c>
      <c r="S163" s="23" t="str">
        <f>IF(R163="","",IF(R163&gt;=Panduan!$B$4,"Terserap","Perlu Evaluasi"))</f>
        <v/>
      </c>
      <c r="T163" s="30"/>
      <c r="U163" s="30"/>
      <c r="V163" s="28" t="str">
        <f t="shared" si="8"/>
        <v/>
      </c>
      <c r="W163" s="28" t="str">
        <f t="shared" si="9"/>
        <v/>
      </c>
      <c r="X163" s="23" t="str">
        <f>IF(W163="","",IF(W163&gt;=Panduan!$B$4,"Terserap","Perlu Evaluasi"))</f>
        <v/>
      </c>
      <c r="Y163" s="30"/>
      <c r="Z163" s="30"/>
      <c r="AA163" s="28" t="str">
        <f t="shared" si="10"/>
        <v/>
      </c>
      <c r="AB163" s="28" t="str">
        <f t="shared" si="11"/>
        <v/>
      </c>
      <c r="AC163" s="23" t="str">
        <f>IF(AB163="","",IF(AB163&gt;=Panduan!$B$4,"Terserap","Perlu Evaluasi"))</f>
        <v/>
      </c>
      <c r="AD163" s="30"/>
      <c r="AE163" s="30"/>
      <c r="AF163" s="28" t="str">
        <f t="shared" si="12"/>
        <v/>
      </c>
      <c r="AG163" s="28" t="str">
        <f t="shared" si="13"/>
        <v/>
      </c>
      <c r="AH163" s="23" t="str">
        <f>IF(AG163="","",IF(AG163&gt;=Panduan!$B$4,"Terserap","Perlu Evaluasi"))</f>
        <v/>
      </c>
      <c r="AI163" s="29" t="str">
        <f t="shared" ref="AI163:AJ163" si="172">IF(COUNTA(J163,O163,T163,Y163,AD163)=0,"",SUM(J163,O163,T163,Y163,AD163))</f>
        <v/>
      </c>
      <c r="AJ163" s="29" t="str">
        <f t="shared" si="172"/>
        <v/>
      </c>
      <c r="AK163" s="28" t="str">
        <f t="shared" si="15"/>
        <v/>
      </c>
      <c r="AL163" s="28" t="str">
        <f t="shared" si="16"/>
        <v/>
      </c>
      <c r="AM163" s="23" t="str">
        <f>IF(AL163="","",IF(AL163&gt;=Panduan!$B$4,"Terserap","Perlu Evaluasi"))</f>
        <v/>
      </c>
    </row>
    <row r="164" ht="15.75" customHeight="1">
      <c r="A164" s="23" t="str">
        <f t="shared" si="2"/>
        <v/>
      </c>
      <c r="B164" s="33"/>
      <c r="C164" s="23" t="str">
        <f t="shared" si="3"/>
        <v/>
      </c>
      <c r="D164" s="31"/>
      <c r="E164" s="31"/>
      <c r="F164" s="31"/>
      <c r="G164" s="31"/>
      <c r="H164" s="31"/>
      <c r="I164" s="32"/>
      <c r="J164" s="30"/>
      <c r="K164" s="30"/>
      <c r="L164" s="28" t="str">
        <f t="shared" si="4"/>
        <v/>
      </c>
      <c r="M164" s="28" t="str">
        <f t="shared" si="5"/>
        <v/>
      </c>
      <c r="N164" s="23" t="str">
        <f>IF(M164="","",IF(M164&gt;=Panduan!$B$4,"Terserap","Perlu Evaluasi"))</f>
        <v/>
      </c>
      <c r="O164" s="30"/>
      <c r="P164" s="30"/>
      <c r="Q164" s="28" t="str">
        <f t="shared" si="6"/>
        <v/>
      </c>
      <c r="R164" s="28" t="str">
        <f t="shared" si="7"/>
        <v/>
      </c>
      <c r="S164" s="23" t="str">
        <f>IF(R164="","",IF(R164&gt;=Panduan!$B$4,"Terserap","Perlu Evaluasi"))</f>
        <v/>
      </c>
      <c r="T164" s="30"/>
      <c r="U164" s="30"/>
      <c r="V164" s="28" t="str">
        <f t="shared" si="8"/>
        <v/>
      </c>
      <c r="W164" s="28" t="str">
        <f t="shared" si="9"/>
        <v/>
      </c>
      <c r="X164" s="23" t="str">
        <f>IF(W164="","",IF(W164&gt;=Panduan!$B$4,"Terserap","Perlu Evaluasi"))</f>
        <v/>
      </c>
      <c r="Y164" s="30"/>
      <c r="Z164" s="30"/>
      <c r="AA164" s="28" t="str">
        <f t="shared" si="10"/>
        <v/>
      </c>
      <c r="AB164" s="28" t="str">
        <f t="shared" si="11"/>
        <v/>
      </c>
      <c r="AC164" s="23" t="str">
        <f>IF(AB164="","",IF(AB164&gt;=Panduan!$B$4,"Terserap","Perlu Evaluasi"))</f>
        <v/>
      </c>
      <c r="AD164" s="30"/>
      <c r="AE164" s="30"/>
      <c r="AF164" s="28" t="str">
        <f t="shared" si="12"/>
        <v/>
      </c>
      <c r="AG164" s="28" t="str">
        <f t="shared" si="13"/>
        <v/>
      </c>
      <c r="AH164" s="23" t="str">
        <f>IF(AG164="","",IF(AG164&gt;=Panduan!$B$4,"Terserap","Perlu Evaluasi"))</f>
        <v/>
      </c>
      <c r="AI164" s="29" t="str">
        <f t="shared" ref="AI164:AJ164" si="173">IF(COUNTA(J164,O164,T164,Y164,AD164)=0,"",SUM(J164,O164,T164,Y164,AD164))</f>
        <v/>
      </c>
      <c r="AJ164" s="29" t="str">
        <f t="shared" si="173"/>
        <v/>
      </c>
      <c r="AK164" s="28" t="str">
        <f t="shared" si="15"/>
        <v/>
      </c>
      <c r="AL164" s="28" t="str">
        <f t="shared" si="16"/>
        <v/>
      </c>
      <c r="AM164" s="23" t="str">
        <f>IF(AL164="","",IF(AL164&gt;=Panduan!$B$4,"Terserap","Perlu Evaluasi"))</f>
        <v/>
      </c>
    </row>
    <row r="165" ht="15.75" customHeight="1">
      <c r="A165" s="23" t="str">
        <f t="shared" si="2"/>
        <v/>
      </c>
      <c r="B165" s="33"/>
      <c r="C165" s="23" t="str">
        <f t="shared" si="3"/>
        <v/>
      </c>
      <c r="D165" s="31"/>
      <c r="E165" s="31"/>
      <c r="F165" s="31"/>
      <c r="G165" s="31"/>
      <c r="H165" s="31"/>
      <c r="I165" s="32"/>
      <c r="J165" s="30"/>
      <c r="K165" s="30"/>
      <c r="L165" s="28" t="str">
        <f t="shared" si="4"/>
        <v/>
      </c>
      <c r="M165" s="28" t="str">
        <f t="shared" si="5"/>
        <v/>
      </c>
      <c r="N165" s="23" t="str">
        <f>IF(M165="","",IF(M165&gt;=Panduan!$B$4,"Terserap","Perlu Evaluasi"))</f>
        <v/>
      </c>
      <c r="O165" s="30"/>
      <c r="P165" s="30"/>
      <c r="Q165" s="28" t="str">
        <f t="shared" si="6"/>
        <v/>
      </c>
      <c r="R165" s="28" t="str">
        <f t="shared" si="7"/>
        <v/>
      </c>
      <c r="S165" s="23" t="str">
        <f>IF(R165="","",IF(R165&gt;=Panduan!$B$4,"Terserap","Perlu Evaluasi"))</f>
        <v/>
      </c>
      <c r="T165" s="30"/>
      <c r="U165" s="30"/>
      <c r="V165" s="28" t="str">
        <f t="shared" si="8"/>
        <v/>
      </c>
      <c r="W165" s="28" t="str">
        <f t="shared" si="9"/>
        <v/>
      </c>
      <c r="X165" s="23" t="str">
        <f>IF(W165="","",IF(W165&gt;=Panduan!$B$4,"Terserap","Perlu Evaluasi"))</f>
        <v/>
      </c>
      <c r="Y165" s="30"/>
      <c r="Z165" s="30"/>
      <c r="AA165" s="28" t="str">
        <f t="shared" si="10"/>
        <v/>
      </c>
      <c r="AB165" s="28" t="str">
        <f t="shared" si="11"/>
        <v/>
      </c>
      <c r="AC165" s="23" t="str">
        <f>IF(AB165="","",IF(AB165&gt;=Panduan!$B$4,"Terserap","Perlu Evaluasi"))</f>
        <v/>
      </c>
      <c r="AD165" s="30"/>
      <c r="AE165" s="30"/>
      <c r="AF165" s="28" t="str">
        <f t="shared" si="12"/>
        <v/>
      </c>
      <c r="AG165" s="28" t="str">
        <f t="shared" si="13"/>
        <v/>
      </c>
      <c r="AH165" s="23" t="str">
        <f>IF(AG165="","",IF(AG165&gt;=Panduan!$B$4,"Terserap","Perlu Evaluasi"))</f>
        <v/>
      </c>
      <c r="AI165" s="29" t="str">
        <f t="shared" ref="AI165:AJ165" si="174">IF(COUNTA(J165,O165,T165,Y165,AD165)=0,"",SUM(J165,O165,T165,Y165,AD165))</f>
        <v/>
      </c>
      <c r="AJ165" s="29" t="str">
        <f t="shared" si="174"/>
        <v/>
      </c>
      <c r="AK165" s="28" t="str">
        <f t="shared" si="15"/>
        <v/>
      </c>
      <c r="AL165" s="28" t="str">
        <f t="shared" si="16"/>
        <v/>
      </c>
      <c r="AM165" s="23" t="str">
        <f>IF(AL165="","",IF(AL165&gt;=Panduan!$B$4,"Terserap","Perlu Evaluasi"))</f>
        <v/>
      </c>
    </row>
    <row r="166" ht="15.75" customHeight="1">
      <c r="A166" s="23" t="str">
        <f t="shared" si="2"/>
        <v/>
      </c>
      <c r="B166" s="33"/>
      <c r="C166" s="23" t="str">
        <f t="shared" si="3"/>
        <v/>
      </c>
      <c r="D166" s="31"/>
      <c r="E166" s="31"/>
      <c r="F166" s="31"/>
      <c r="G166" s="31"/>
      <c r="H166" s="31"/>
      <c r="I166" s="32"/>
      <c r="J166" s="30"/>
      <c r="K166" s="30"/>
      <c r="L166" s="28" t="str">
        <f t="shared" si="4"/>
        <v/>
      </c>
      <c r="M166" s="28" t="str">
        <f t="shared" si="5"/>
        <v/>
      </c>
      <c r="N166" s="23" t="str">
        <f>IF(M166="","",IF(M166&gt;=Panduan!$B$4,"Terserap","Perlu Evaluasi"))</f>
        <v/>
      </c>
      <c r="O166" s="30"/>
      <c r="P166" s="30"/>
      <c r="Q166" s="28" t="str">
        <f t="shared" si="6"/>
        <v/>
      </c>
      <c r="R166" s="28" t="str">
        <f t="shared" si="7"/>
        <v/>
      </c>
      <c r="S166" s="23" t="str">
        <f>IF(R166="","",IF(R166&gt;=Panduan!$B$4,"Terserap","Perlu Evaluasi"))</f>
        <v/>
      </c>
      <c r="T166" s="30"/>
      <c r="U166" s="30"/>
      <c r="V166" s="28" t="str">
        <f t="shared" si="8"/>
        <v/>
      </c>
      <c r="W166" s="28" t="str">
        <f t="shared" si="9"/>
        <v/>
      </c>
      <c r="X166" s="23" t="str">
        <f>IF(W166="","",IF(W166&gt;=Panduan!$B$4,"Terserap","Perlu Evaluasi"))</f>
        <v/>
      </c>
      <c r="Y166" s="30"/>
      <c r="Z166" s="30"/>
      <c r="AA166" s="28" t="str">
        <f t="shared" si="10"/>
        <v/>
      </c>
      <c r="AB166" s="28" t="str">
        <f t="shared" si="11"/>
        <v/>
      </c>
      <c r="AC166" s="23" t="str">
        <f>IF(AB166="","",IF(AB166&gt;=Panduan!$B$4,"Terserap","Perlu Evaluasi"))</f>
        <v/>
      </c>
      <c r="AD166" s="30"/>
      <c r="AE166" s="30"/>
      <c r="AF166" s="28" t="str">
        <f t="shared" si="12"/>
        <v/>
      </c>
      <c r="AG166" s="28" t="str">
        <f t="shared" si="13"/>
        <v/>
      </c>
      <c r="AH166" s="23" t="str">
        <f>IF(AG166="","",IF(AG166&gt;=Panduan!$B$4,"Terserap","Perlu Evaluasi"))</f>
        <v/>
      </c>
      <c r="AI166" s="29" t="str">
        <f t="shared" ref="AI166:AJ166" si="175">IF(COUNTA(J166,O166,T166,Y166,AD166)=0,"",SUM(J166,O166,T166,Y166,AD166))</f>
        <v/>
      </c>
      <c r="AJ166" s="29" t="str">
        <f t="shared" si="175"/>
        <v/>
      </c>
      <c r="AK166" s="28" t="str">
        <f t="shared" si="15"/>
        <v/>
      </c>
      <c r="AL166" s="28" t="str">
        <f t="shared" si="16"/>
        <v/>
      </c>
      <c r="AM166" s="23" t="str">
        <f>IF(AL166="","",IF(AL166&gt;=Panduan!$B$4,"Terserap","Perlu Evaluasi"))</f>
        <v/>
      </c>
    </row>
    <row r="167" ht="15.75" customHeight="1">
      <c r="A167" s="23" t="str">
        <f t="shared" si="2"/>
        <v/>
      </c>
      <c r="B167" s="33"/>
      <c r="C167" s="23" t="str">
        <f t="shared" si="3"/>
        <v/>
      </c>
      <c r="D167" s="31"/>
      <c r="E167" s="31"/>
      <c r="F167" s="31"/>
      <c r="G167" s="31"/>
      <c r="H167" s="31"/>
      <c r="I167" s="32"/>
      <c r="J167" s="30"/>
      <c r="K167" s="30"/>
      <c r="L167" s="28" t="str">
        <f t="shared" si="4"/>
        <v/>
      </c>
      <c r="M167" s="28" t="str">
        <f t="shared" si="5"/>
        <v/>
      </c>
      <c r="N167" s="23" t="str">
        <f>IF(M167="","",IF(M167&gt;=Panduan!$B$4,"Terserap","Perlu Evaluasi"))</f>
        <v/>
      </c>
      <c r="O167" s="30"/>
      <c r="P167" s="30"/>
      <c r="Q167" s="28" t="str">
        <f t="shared" si="6"/>
        <v/>
      </c>
      <c r="R167" s="28" t="str">
        <f t="shared" si="7"/>
        <v/>
      </c>
      <c r="S167" s="23" t="str">
        <f>IF(R167="","",IF(R167&gt;=Panduan!$B$4,"Terserap","Perlu Evaluasi"))</f>
        <v/>
      </c>
      <c r="T167" s="30"/>
      <c r="U167" s="30"/>
      <c r="V167" s="28" t="str">
        <f t="shared" si="8"/>
        <v/>
      </c>
      <c r="W167" s="28" t="str">
        <f t="shared" si="9"/>
        <v/>
      </c>
      <c r="X167" s="23" t="str">
        <f>IF(W167="","",IF(W167&gt;=Panduan!$B$4,"Terserap","Perlu Evaluasi"))</f>
        <v/>
      </c>
      <c r="Y167" s="30"/>
      <c r="Z167" s="30"/>
      <c r="AA167" s="28" t="str">
        <f t="shared" si="10"/>
        <v/>
      </c>
      <c r="AB167" s="28" t="str">
        <f t="shared" si="11"/>
        <v/>
      </c>
      <c r="AC167" s="23" t="str">
        <f>IF(AB167="","",IF(AB167&gt;=Panduan!$B$4,"Terserap","Perlu Evaluasi"))</f>
        <v/>
      </c>
      <c r="AD167" s="30"/>
      <c r="AE167" s="30"/>
      <c r="AF167" s="28" t="str">
        <f t="shared" si="12"/>
        <v/>
      </c>
      <c r="AG167" s="28" t="str">
        <f t="shared" si="13"/>
        <v/>
      </c>
      <c r="AH167" s="23" t="str">
        <f>IF(AG167="","",IF(AG167&gt;=Panduan!$B$4,"Terserap","Perlu Evaluasi"))</f>
        <v/>
      </c>
      <c r="AI167" s="29" t="str">
        <f t="shared" ref="AI167:AJ167" si="176">IF(COUNTA(J167,O167,T167,Y167,AD167)=0,"",SUM(J167,O167,T167,Y167,AD167))</f>
        <v/>
      </c>
      <c r="AJ167" s="29" t="str">
        <f t="shared" si="176"/>
        <v/>
      </c>
      <c r="AK167" s="28" t="str">
        <f t="shared" si="15"/>
        <v/>
      </c>
      <c r="AL167" s="28" t="str">
        <f t="shared" si="16"/>
        <v/>
      </c>
      <c r="AM167" s="23" t="str">
        <f>IF(AL167="","",IF(AL167&gt;=Panduan!$B$4,"Terserap","Perlu Evaluasi"))</f>
        <v/>
      </c>
    </row>
    <row r="168" ht="15.75" customHeight="1">
      <c r="A168" s="23" t="str">
        <f t="shared" si="2"/>
        <v/>
      </c>
      <c r="B168" s="33"/>
      <c r="C168" s="23" t="str">
        <f t="shared" si="3"/>
        <v/>
      </c>
      <c r="D168" s="31"/>
      <c r="E168" s="31"/>
      <c r="F168" s="31"/>
      <c r="G168" s="31"/>
      <c r="H168" s="31"/>
      <c r="I168" s="32"/>
      <c r="J168" s="30"/>
      <c r="K168" s="30"/>
      <c r="L168" s="28" t="str">
        <f t="shared" si="4"/>
        <v/>
      </c>
      <c r="M168" s="28" t="str">
        <f t="shared" si="5"/>
        <v/>
      </c>
      <c r="N168" s="23" t="str">
        <f>IF(M168="","",IF(M168&gt;=Panduan!$B$4,"Terserap","Perlu Evaluasi"))</f>
        <v/>
      </c>
      <c r="O168" s="30"/>
      <c r="P168" s="30"/>
      <c r="Q168" s="28" t="str">
        <f t="shared" si="6"/>
        <v/>
      </c>
      <c r="R168" s="28" t="str">
        <f t="shared" si="7"/>
        <v/>
      </c>
      <c r="S168" s="23" t="str">
        <f>IF(R168="","",IF(R168&gt;=Panduan!$B$4,"Terserap","Perlu Evaluasi"))</f>
        <v/>
      </c>
      <c r="T168" s="30"/>
      <c r="U168" s="30"/>
      <c r="V168" s="28" t="str">
        <f t="shared" si="8"/>
        <v/>
      </c>
      <c r="W168" s="28" t="str">
        <f t="shared" si="9"/>
        <v/>
      </c>
      <c r="X168" s="23" t="str">
        <f>IF(W168="","",IF(W168&gt;=Panduan!$B$4,"Terserap","Perlu Evaluasi"))</f>
        <v/>
      </c>
      <c r="Y168" s="30"/>
      <c r="Z168" s="30"/>
      <c r="AA168" s="28" t="str">
        <f t="shared" si="10"/>
        <v/>
      </c>
      <c r="AB168" s="28" t="str">
        <f t="shared" si="11"/>
        <v/>
      </c>
      <c r="AC168" s="23" t="str">
        <f>IF(AB168="","",IF(AB168&gt;=Panduan!$B$4,"Terserap","Perlu Evaluasi"))</f>
        <v/>
      </c>
      <c r="AD168" s="30"/>
      <c r="AE168" s="30"/>
      <c r="AF168" s="28" t="str">
        <f t="shared" si="12"/>
        <v/>
      </c>
      <c r="AG168" s="28" t="str">
        <f t="shared" si="13"/>
        <v/>
      </c>
      <c r="AH168" s="23" t="str">
        <f>IF(AG168="","",IF(AG168&gt;=Panduan!$B$4,"Terserap","Perlu Evaluasi"))</f>
        <v/>
      </c>
      <c r="AI168" s="29" t="str">
        <f t="shared" ref="AI168:AJ168" si="177">IF(COUNTA(J168,O168,T168,Y168,AD168)=0,"",SUM(J168,O168,T168,Y168,AD168))</f>
        <v/>
      </c>
      <c r="AJ168" s="29" t="str">
        <f t="shared" si="177"/>
        <v/>
      </c>
      <c r="AK168" s="28" t="str">
        <f t="shared" si="15"/>
        <v/>
      </c>
      <c r="AL168" s="28" t="str">
        <f t="shared" si="16"/>
        <v/>
      </c>
      <c r="AM168" s="23" t="str">
        <f>IF(AL168="","",IF(AL168&gt;=Panduan!$B$4,"Terserap","Perlu Evaluasi"))</f>
        <v/>
      </c>
    </row>
    <row r="169" ht="15.75" customHeight="1">
      <c r="A169" s="23" t="str">
        <f t="shared" si="2"/>
        <v/>
      </c>
      <c r="B169" s="33"/>
      <c r="C169" s="23" t="str">
        <f t="shared" si="3"/>
        <v/>
      </c>
      <c r="D169" s="31"/>
      <c r="E169" s="31"/>
      <c r="F169" s="31"/>
      <c r="G169" s="31"/>
      <c r="H169" s="31"/>
      <c r="I169" s="32"/>
      <c r="J169" s="30"/>
      <c r="K169" s="30"/>
      <c r="L169" s="28" t="str">
        <f t="shared" si="4"/>
        <v/>
      </c>
      <c r="M169" s="28" t="str">
        <f t="shared" si="5"/>
        <v/>
      </c>
      <c r="N169" s="23" t="str">
        <f>IF(M169="","",IF(M169&gt;=Panduan!$B$4,"Terserap","Perlu Evaluasi"))</f>
        <v/>
      </c>
      <c r="O169" s="30"/>
      <c r="P169" s="30"/>
      <c r="Q169" s="28" t="str">
        <f t="shared" si="6"/>
        <v/>
      </c>
      <c r="R169" s="28" t="str">
        <f t="shared" si="7"/>
        <v/>
      </c>
      <c r="S169" s="23" t="str">
        <f>IF(R169="","",IF(R169&gt;=Panduan!$B$4,"Terserap","Perlu Evaluasi"))</f>
        <v/>
      </c>
      <c r="T169" s="30"/>
      <c r="U169" s="30"/>
      <c r="V169" s="28" t="str">
        <f t="shared" si="8"/>
        <v/>
      </c>
      <c r="W169" s="28" t="str">
        <f t="shared" si="9"/>
        <v/>
      </c>
      <c r="X169" s="23" t="str">
        <f>IF(W169="","",IF(W169&gt;=Panduan!$B$4,"Terserap","Perlu Evaluasi"))</f>
        <v/>
      </c>
      <c r="Y169" s="30"/>
      <c r="Z169" s="30"/>
      <c r="AA169" s="28" t="str">
        <f t="shared" si="10"/>
        <v/>
      </c>
      <c r="AB169" s="28" t="str">
        <f t="shared" si="11"/>
        <v/>
      </c>
      <c r="AC169" s="23" t="str">
        <f>IF(AB169="","",IF(AB169&gt;=Panduan!$B$4,"Terserap","Perlu Evaluasi"))</f>
        <v/>
      </c>
      <c r="AD169" s="30"/>
      <c r="AE169" s="30"/>
      <c r="AF169" s="28" t="str">
        <f t="shared" si="12"/>
        <v/>
      </c>
      <c r="AG169" s="28" t="str">
        <f t="shared" si="13"/>
        <v/>
      </c>
      <c r="AH169" s="23" t="str">
        <f>IF(AG169="","",IF(AG169&gt;=Panduan!$B$4,"Terserap","Perlu Evaluasi"))</f>
        <v/>
      </c>
      <c r="AI169" s="29" t="str">
        <f t="shared" ref="AI169:AJ169" si="178">IF(COUNTA(J169,O169,T169,Y169,AD169)=0,"",SUM(J169,O169,T169,Y169,AD169))</f>
        <v/>
      </c>
      <c r="AJ169" s="29" t="str">
        <f t="shared" si="178"/>
        <v/>
      </c>
      <c r="AK169" s="28" t="str">
        <f t="shared" si="15"/>
        <v/>
      </c>
      <c r="AL169" s="28" t="str">
        <f t="shared" si="16"/>
        <v/>
      </c>
      <c r="AM169" s="23" t="str">
        <f>IF(AL169="","",IF(AL169&gt;=Panduan!$B$4,"Terserap","Perlu Evaluasi"))</f>
        <v/>
      </c>
    </row>
    <row r="170" ht="15.75" customHeight="1">
      <c r="A170" s="23" t="str">
        <f t="shared" si="2"/>
        <v/>
      </c>
      <c r="B170" s="33"/>
      <c r="C170" s="23" t="str">
        <f t="shared" si="3"/>
        <v/>
      </c>
      <c r="D170" s="31"/>
      <c r="E170" s="31"/>
      <c r="F170" s="31"/>
      <c r="G170" s="31"/>
      <c r="H170" s="31"/>
      <c r="I170" s="32"/>
      <c r="J170" s="30"/>
      <c r="K170" s="30"/>
      <c r="L170" s="28" t="str">
        <f t="shared" si="4"/>
        <v/>
      </c>
      <c r="M170" s="28" t="str">
        <f t="shared" si="5"/>
        <v/>
      </c>
      <c r="N170" s="23" t="str">
        <f>IF(M170="","",IF(M170&gt;=Panduan!$B$4,"Terserap","Perlu Evaluasi"))</f>
        <v/>
      </c>
      <c r="O170" s="30"/>
      <c r="P170" s="30"/>
      <c r="Q170" s="28" t="str">
        <f t="shared" si="6"/>
        <v/>
      </c>
      <c r="R170" s="28" t="str">
        <f t="shared" si="7"/>
        <v/>
      </c>
      <c r="S170" s="23" t="str">
        <f>IF(R170="","",IF(R170&gt;=Panduan!$B$4,"Terserap","Perlu Evaluasi"))</f>
        <v/>
      </c>
      <c r="T170" s="30"/>
      <c r="U170" s="30"/>
      <c r="V170" s="28" t="str">
        <f t="shared" si="8"/>
        <v/>
      </c>
      <c r="W170" s="28" t="str">
        <f t="shared" si="9"/>
        <v/>
      </c>
      <c r="X170" s="23" t="str">
        <f>IF(W170="","",IF(W170&gt;=Panduan!$B$4,"Terserap","Perlu Evaluasi"))</f>
        <v/>
      </c>
      <c r="Y170" s="30"/>
      <c r="Z170" s="30"/>
      <c r="AA170" s="28" t="str">
        <f t="shared" si="10"/>
        <v/>
      </c>
      <c r="AB170" s="28" t="str">
        <f t="shared" si="11"/>
        <v/>
      </c>
      <c r="AC170" s="23" t="str">
        <f>IF(AB170="","",IF(AB170&gt;=Panduan!$B$4,"Terserap","Perlu Evaluasi"))</f>
        <v/>
      </c>
      <c r="AD170" s="30"/>
      <c r="AE170" s="30"/>
      <c r="AF170" s="28" t="str">
        <f t="shared" si="12"/>
        <v/>
      </c>
      <c r="AG170" s="28" t="str">
        <f t="shared" si="13"/>
        <v/>
      </c>
      <c r="AH170" s="23" t="str">
        <f>IF(AG170="","",IF(AG170&gt;=Panduan!$B$4,"Terserap","Perlu Evaluasi"))</f>
        <v/>
      </c>
      <c r="AI170" s="29" t="str">
        <f t="shared" ref="AI170:AJ170" si="179">IF(COUNTA(J170,O170,T170,Y170,AD170)=0,"",SUM(J170,O170,T170,Y170,AD170))</f>
        <v/>
      </c>
      <c r="AJ170" s="29" t="str">
        <f t="shared" si="179"/>
        <v/>
      </c>
      <c r="AK170" s="28" t="str">
        <f t="shared" si="15"/>
        <v/>
      </c>
      <c r="AL170" s="28" t="str">
        <f t="shared" si="16"/>
        <v/>
      </c>
      <c r="AM170" s="23" t="str">
        <f>IF(AL170="","",IF(AL170&gt;=Panduan!$B$4,"Terserap","Perlu Evaluasi"))</f>
        <v/>
      </c>
    </row>
    <row r="171" ht="15.75" customHeight="1">
      <c r="A171" s="23" t="str">
        <f t="shared" si="2"/>
        <v/>
      </c>
      <c r="B171" s="33"/>
      <c r="C171" s="23" t="str">
        <f t="shared" si="3"/>
        <v/>
      </c>
      <c r="D171" s="31"/>
      <c r="E171" s="31"/>
      <c r="F171" s="31"/>
      <c r="G171" s="31"/>
      <c r="H171" s="31"/>
      <c r="I171" s="32"/>
      <c r="J171" s="30"/>
      <c r="K171" s="30"/>
      <c r="L171" s="28" t="str">
        <f t="shared" si="4"/>
        <v/>
      </c>
      <c r="M171" s="28" t="str">
        <f t="shared" si="5"/>
        <v/>
      </c>
      <c r="N171" s="23" t="str">
        <f>IF(M171="","",IF(M171&gt;=Panduan!$B$4,"Terserap","Perlu Evaluasi"))</f>
        <v/>
      </c>
      <c r="O171" s="30"/>
      <c r="P171" s="30"/>
      <c r="Q171" s="28" t="str">
        <f t="shared" si="6"/>
        <v/>
      </c>
      <c r="R171" s="28" t="str">
        <f t="shared" si="7"/>
        <v/>
      </c>
      <c r="S171" s="23" t="str">
        <f>IF(R171="","",IF(R171&gt;=Panduan!$B$4,"Terserap","Perlu Evaluasi"))</f>
        <v/>
      </c>
      <c r="T171" s="30"/>
      <c r="U171" s="30"/>
      <c r="V171" s="28" t="str">
        <f t="shared" si="8"/>
        <v/>
      </c>
      <c r="W171" s="28" t="str">
        <f t="shared" si="9"/>
        <v/>
      </c>
      <c r="X171" s="23" t="str">
        <f>IF(W171="","",IF(W171&gt;=Panduan!$B$4,"Terserap","Perlu Evaluasi"))</f>
        <v/>
      </c>
      <c r="Y171" s="30"/>
      <c r="Z171" s="30"/>
      <c r="AA171" s="28" t="str">
        <f t="shared" si="10"/>
        <v/>
      </c>
      <c r="AB171" s="28" t="str">
        <f t="shared" si="11"/>
        <v/>
      </c>
      <c r="AC171" s="23" t="str">
        <f>IF(AB171="","",IF(AB171&gt;=Panduan!$B$4,"Terserap","Perlu Evaluasi"))</f>
        <v/>
      </c>
      <c r="AD171" s="30"/>
      <c r="AE171" s="30"/>
      <c r="AF171" s="28" t="str">
        <f t="shared" si="12"/>
        <v/>
      </c>
      <c r="AG171" s="28" t="str">
        <f t="shared" si="13"/>
        <v/>
      </c>
      <c r="AH171" s="23" t="str">
        <f>IF(AG171="","",IF(AG171&gt;=Panduan!$B$4,"Terserap","Perlu Evaluasi"))</f>
        <v/>
      </c>
      <c r="AI171" s="29" t="str">
        <f t="shared" ref="AI171:AJ171" si="180">IF(COUNTA(J171,O171,T171,Y171,AD171)=0,"",SUM(J171,O171,T171,Y171,AD171))</f>
        <v/>
      </c>
      <c r="AJ171" s="29" t="str">
        <f t="shared" si="180"/>
        <v/>
      </c>
      <c r="AK171" s="28" t="str">
        <f t="shared" si="15"/>
        <v/>
      </c>
      <c r="AL171" s="28" t="str">
        <f t="shared" si="16"/>
        <v/>
      </c>
      <c r="AM171" s="23" t="str">
        <f>IF(AL171="","",IF(AL171&gt;=Panduan!$B$4,"Terserap","Perlu Evaluasi"))</f>
        <v/>
      </c>
    </row>
    <row r="172" ht="15.75" customHeight="1">
      <c r="A172" s="23" t="str">
        <f t="shared" si="2"/>
        <v/>
      </c>
      <c r="B172" s="33"/>
      <c r="C172" s="23" t="str">
        <f t="shared" si="3"/>
        <v/>
      </c>
      <c r="D172" s="31"/>
      <c r="E172" s="31"/>
      <c r="F172" s="31"/>
      <c r="G172" s="31"/>
      <c r="H172" s="31"/>
      <c r="I172" s="32"/>
      <c r="J172" s="30"/>
      <c r="K172" s="30"/>
      <c r="L172" s="28" t="str">
        <f t="shared" si="4"/>
        <v/>
      </c>
      <c r="M172" s="28" t="str">
        <f t="shared" si="5"/>
        <v/>
      </c>
      <c r="N172" s="23" t="str">
        <f>IF(M172="","",IF(M172&gt;=Panduan!$B$4,"Terserap","Perlu Evaluasi"))</f>
        <v/>
      </c>
      <c r="O172" s="30"/>
      <c r="P172" s="30"/>
      <c r="Q172" s="28" t="str">
        <f t="shared" si="6"/>
        <v/>
      </c>
      <c r="R172" s="28" t="str">
        <f t="shared" si="7"/>
        <v/>
      </c>
      <c r="S172" s="23" t="str">
        <f>IF(R172="","",IF(R172&gt;=Panduan!$B$4,"Terserap","Perlu Evaluasi"))</f>
        <v/>
      </c>
      <c r="T172" s="30"/>
      <c r="U172" s="30"/>
      <c r="V172" s="28" t="str">
        <f t="shared" si="8"/>
        <v/>
      </c>
      <c r="W172" s="28" t="str">
        <f t="shared" si="9"/>
        <v/>
      </c>
      <c r="X172" s="23" t="str">
        <f>IF(W172="","",IF(W172&gt;=Panduan!$B$4,"Terserap","Perlu Evaluasi"))</f>
        <v/>
      </c>
      <c r="Y172" s="30"/>
      <c r="Z172" s="30"/>
      <c r="AA172" s="28" t="str">
        <f t="shared" si="10"/>
        <v/>
      </c>
      <c r="AB172" s="28" t="str">
        <f t="shared" si="11"/>
        <v/>
      </c>
      <c r="AC172" s="23" t="str">
        <f>IF(AB172="","",IF(AB172&gt;=Panduan!$B$4,"Terserap","Perlu Evaluasi"))</f>
        <v/>
      </c>
      <c r="AD172" s="30"/>
      <c r="AE172" s="30"/>
      <c r="AF172" s="28" t="str">
        <f t="shared" si="12"/>
        <v/>
      </c>
      <c r="AG172" s="28" t="str">
        <f t="shared" si="13"/>
        <v/>
      </c>
      <c r="AH172" s="23" t="str">
        <f>IF(AG172="","",IF(AG172&gt;=Panduan!$B$4,"Terserap","Perlu Evaluasi"))</f>
        <v/>
      </c>
      <c r="AI172" s="29" t="str">
        <f t="shared" ref="AI172:AJ172" si="181">IF(COUNTA(J172,O172,T172,Y172,AD172)=0,"",SUM(J172,O172,T172,Y172,AD172))</f>
        <v/>
      </c>
      <c r="AJ172" s="29" t="str">
        <f t="shared" si="181"/>
        <v/>
      </c>
      <c r="AK172" s="28" t="str">
        <f t="shared" si="15"/>
        <v/>
      </c>
      <c r="AL172" s="28" t="str">
        <f t="shared" si="16"/>
        <v/>
      </c>
      <c r="AM172" s="23" t="str">
        <f>IF(AL172="","",IF(AL172&gt;=Panduan!$B$4,"Terserap","Perlu Evaluasi"))</f>
        <v/>
      </c>
    </row>
    <row r="173" ht="15.75" customHeight="1">
      <c r="A173" s="23" t="str">
        <f t="shared" si="2"/>
        <v/>
      </c>
      <c r="B173" s="33"/>
      <c r="C173" s="23" t="str">
        <f t="shared" si="3"/>
        <v/>
      </c>
      <c r="D173" s="31"/>
      <c r="E173" s="31"/>
      <c r="F173" s="31"/>
      <c r="G173" s="31"/>
      <c r="H173" s="31"/>
      <c r="I173" s="32"/>
      <c r="J173" s="30"/>
      <c r="K173" s="30"/>
      <c r="L173" s="28" t="str">
        <f t="shared" si="4"/>
        <v/>
      </c>
      <c r="M173" s="28" t="str">
        <f t="shared" si="5"/>
        <v/>
      </c>
      <c r="N173" s="23" t="str">
        <f>IF(M173="","",IF(M173&gt;=Panduan!$B$4,"Terserap","Perlu Evaluasi"))</f>
        <v/>
      </c>
      <c r="O173" s="30"/>
      <c r="P173" s="30"/>
      <c r="Q173" s="28" t="str">
        <f t="shared" si="6"/>
        <v/>
      </c>
      <c r="R173" s="28" t="str">
        <f t="shared" si="7"/>
        <v/>
      </c>
      <c r="S173" s="23" t="str">
        <f>IF(R173="","",IF(R173&gt;=Panduan!$B$4,"Terserap","Perlu Evaluasi"))</f>
        <v/>
      </c>
      <c r="T173" s="30"/>
      <c r="U173" s="30"/>
      <c r="V173" s="28" t="str">
        <f t="shared" si="8"/>
        <v/>
      </c>
      <c r="W173" s="28" t="str">
        <f t="shared" si="9"/>
        <v/>
      </c>
      <c r="X173" s="23" t="str">
        <f>IF(W173="","",IF(W173&gt;=Panduan!$B$4,"Terserap","Perlu Evaluasi"))</f>
        <v/>
      </c>
      <c r="Y173" s="30"/>
      <c r="Z173" s="30"/>
      <c r="AA173" s="28" t="str">
        <f t="shared" si="10"/>
        <v/>
      </c>
      <c r="AB173" s="28" t="str">
        <f t="shared" si="11"/>
        <v/>
      </c>
      <c r="AC173" s="23" t="str">
        <f>IF(AB173="","",IF(AB173&gt;=Panduan!$B$4,"Terserap","Perlu Evaluasi"))</f>
        <v/>
      </c>
      <c r="AD173" s="30"/>
      <c r="AE173" s="30"/>
      <c r="AF173" s="28" t="str">
        <f t="shared" si="12"/>
        <v/>
      </c>
      <c r="AG173" s="28" t="str">
        <f t="shared" si="13"/>
        <v/>
      </c>
      <c r="AH173" s="23" t="str">
        <f>IF(AG173="","",IF(AG173&gt;=Panduan!$B$4,"Terserap","Perlu Evaluasi"))</f>
        <v/>
      </c>
      <c r="AI173" s="29" t="str">
        <f t="shared" ref="AI173:AJ173" si="182">IF(COUNTA(J173,O173,T173,Y173,AD173)=0,"",SUM(J173,O173,T173,Y173,AD173))</f>
        <v/>
      </c>
      <c r="AJ173" s="29" t="str">
        <f t="shared" si="182"/>
        <v/>
      </c>
      <c r="AK173" s="28" t="str">
        <f t="shared" si="15"/>
        <v/>
      </c>
      <c r="AL173" s="28" t="str">
        <f t="shared" si="16"/>
        <v/>
      </c>
      <c r="AM173" s="23" t="str">
        <f>IF(AL173="","",IF(AL173&gt;=Panduan!$B$4,"Terserap","Perlu Evaluasi"))</f>
        <v/>
      </c>
    </row>
    <row r="174" ht="15.75" customHeight="1">
      <c r="A174" s="23" t="str">
        <f t="shared" si="2"/>
        <v/>
      </c>
      <c r="B174" s="33"/>
      <c r="C174" s="23" t="str">
        <f t="shared" si="3"/>
        <v/>
      </c>
      <c r="D174" s="31"/>
      <c r="E174" s="31"/>
      <c r="F174" s="31"/>
      <c r="G174" s="31"/>
      <c r="H174" s="31"/>
      <c r="I174" s="32"/>
      <c r="J174" s="30"/>
      <c r="K174" s="30"/>
      <c r="L174" s="28" t="str">
        <f t="shared" si="4"/>
        <v/>
      </c>
      <c r="M174" s="28" t="str">
        <f t="shared" si="5"/>
        <v/>
      </c>
      <c r="N174" s="23" t="str">
        <f>IF(M174="","",IF(M174&gt;=Panduan!$B$4,"Terserap","Perlu Evaluasi"))</f>
        <v/>
      </c>
      <c r="O174" s="30"/>
      <c r="P174" s="30"/>
      <c r="Q174" s="28" t="str">
        <f t="shared" si="6"/>
        <v/>
      </c>
      <c r="R174" s="28" t="str">
        <f t="shared" si="7"/>
        <v/>
      </c>
      <c r="S174" s="23" t="str">
        <f>IF(R174="","",IF(R174&gt;=Panduan!$B$4,"Terserap","Perlu Evaluasi"))</f>
        <v/>
      </c>
      <c r="T174" s="30"/>
      <c r="U174" s="30"/>
      <c r="V174" s="28" t="str">
        <f t="shared" si="8"/>
        <v/>
      </c>
      <c r="W174" s="28" t="str">
        <f t="shared" si="9"/>
        <v/>
      </c>
      <c r="X174" s="23" t="str">
        <f>IF(W174="","",IF(W174&gt;=Panduan!$B$4,"Terserap","Perlu Evaluasi"))</f>
        <v/>
      </c>
      <c r="Y174" s="30"/>
      <c r="Z174" s="30"/>
      <c r="AA174" s="28" t="str">
        <f t="shared" si="10"/>
        <v/>
      </c>
      <c r="AB174" s="28" t="str">
        <f t="shared" si="11"/>
        <v/>
      </c>
      <c r="AC174" s="23" t="str">
        <f>IF(AB174="","",IF(AB174&gt;=Panduan!$B$4,"Terserap","Perlu Evaluasi"))</f>
        <v/>
      </c>
      <c r="AD174" s="30"/>
      <c r="AE174" s="30"/>
      <c r="AF174" s="28" t="str">
        <f t="shared" si="12"/>
        <v/>
      </c>
      <c r="AG174" s="28" t="str">
        <f t="shared" si="13"/>
        <v/>
      </c>
      <c r="AH174" s="23" t="str">
        <f>IF(AG174="","",IF(AG174&gt;=Panduan!$B$4,"Terserap","Perlu Evaluasi"))</f>
        <v/>
      </c>
      <c r="AI174" s="29" t="str">
        <f t="shared" ref="AI174:AJ174" si="183">IF(COUNTA(J174,O174,T174,Y174,AD174)=0,"",SUM(J174,O174,T174,Y174,AD174))</f>
        <v/>
      </c>
      <c r="AJ174" s="29" t="str">
        <f t="shared" si="183"/>
        <v/>
      </c>
      <c r="AK174" s="28" t="str">
        <f t="shared" si="15"/>
        <v/>
      </c>
      <c r="AL174" s="28" t="str">
        <f t="shared" si="16"/>
        <v/>
      </c>
      <c r="AM174" s="23" t="str">
        <f>IF(AL174="","",IF(AL174&gt;=Panduan!$B$4,"Terserap","Perlu Evaluasi"))</f>
        <v/>
      </c>
    </row>
    <row r="175" ht="15.75" customHeight="1">
      <c r="A175" s="23" t="str">
        <f t="shared" si="2"/>
        <v/>
      </c>
      <c r="B175" s="33"/>
      <c r="C175" s="23" t="str">
        <f t="shared" si="3"/>
        <v/>
      </c>
      <c r="D175" s="31"/>
      <c r="E175" s="31"/>
      <c r="F175" s="31"/>
      <c r="G175" s="31"/>
      <c r="H175" s="31"/>
      <c r="I175" s="32"/>
      <c r="J175" s="30"/>
      <c r="K175" s="30"/>
      <c r="L175" s="28" t="str">
        <f t="shared" si="4"/>
        <v/>
      </c>
      <c r="M175" s="28" t="str">
        <f t="shared" si="5"/>
        <v/>
      </c>
      <c r="N175" s="23" t="str">
        <f>IF(M175="","",IF(M175&gt;=Panduan!$B$4,"Terserap","Perlu Evaluasi"))</f>
        <v/>
      </c>
      <c r="O175" s="30"/>
      <c r="P175" s="30"/>
      <c r="Q175" s="28" t="str">
        <f t="shared" si="6"/>
        <v/>
      </c>
      <c r="R175" s="28" t="str">
        <f t="shared" si="7"/>
        <v/>
      </c>
      <c r="S175" s="23" t="str">
        <f>IF(R175="","",IF(R175&gt;=Panduan!$B$4,"Terserap","Perlu Evaluasi"))</f>
        <v/>
      </c>
      <c r="T175" s="30"/>
      <c r="U175" s="30"/>
      <c r="V175" s="28" t="str">
        <f t="shared" si="8"/>
        <v/>
      </c>
      <c r="W175" s="28" t="str">
        <f t="shared" si="9"/>
        <v/>
      </c>
      <c r="X175" s="23" t="str">
        <f>IF(W175="","",IF(W175&gt;=Panduan!$B$4,"Terserap","Perlu Evaluasi"))</f>
        <v/>
      </c>
      <c r="Y175" s="30"/>
      <c r="Z175" s="30"/>
      <c r="AA175" s="28" t="str">
        <f t="shared" si="10"/>
        <v/>
      </c>
      <c r="AB175" s="28" t="str">
        <f t="shared" si="11"/>
        <v/>
      </c>
      <c r="AC175" s="23" t="str">
        <f>IF(AB175="","",IF(AB175&gt;=Panduan!$B$4,"Terserap","Perlu Evaluasi"))</f>
        <v/>
      </c>
      <c r="AD175" s="30"/>
      <c r="AE175" s="30"/>
      <c r="AF175" s="28" t="str">
        <f t="shared" si="12"/>
        <v/>
      </c>
      <c r="AG175" s="28" t="str">
        <f t="shared" si="13"/>
        <v/>
      </c>
      <c r="AH175" s="23" t="str">
        <f>IF(AG175="","",IF(AG175&gt;=Panduan!$B$4,"Terserap","Perlu Evaluasi"))</f>
        <v/>
      </c>
      <c r="AI175" s="29" t="str">
        <f t="shared" ref="AI175:AJ175" si="184">IF(COUNTA(J175,O175,T175,Y175,AD175)=0,"",SUM(J175,O175,T175,Y175,AD175))</f>
        <v/>
      </c>
      <c r="AJ175" s="29" t="str">
        <f t="shared" si="184"/>
        <v/>
      </c>
      <c r="AK175" s="28" t="str">
        <f t="shared" si="15"/>
        <v/>
      </c>
      <c r="AL175" s="28" t="str">
        <f t="shared" si="16"/>
        <v/>
      </c>
      <c r="AM175" s="23" t="str">
        <f>IF(AL175="","",IF(AL175&gt;=Panduan!$B$4,"Terserap","Perlu Evaluasi"))</f>
        <v/>
      </c>
    </row>
    <row r="176" ht="15.75" customHeight="1">
      <c r="A176" s="23" t="str">
        <f t="shared" si="2"/>
        <v/>
      </c>
      <c r="B176" s="33"/>
      <c r="C176" s="23" t="str">
        <f t="shared" si="3"/>
        <v/>
      </c>
      <c r="D176" s="31"/>
      <c r="E176" s="31"/>
      <c r="F176" s="31"/>
      <c r="G176" s="31"/>
      <c r="H176" s="31"/>
      <c r="I176" s="32"/>
      <c r="J176" s="30"/>
      <c r="K176" s="30"/>
      <c r="L176" s="28" t="str">
        <f t="shared" si="4"/>
        <v/>
      </c>
      <c r="M176" s="28" t="str">
        <f t="shared" si="5"/>
        <v/>
      </c>
      <c r="N176" s="23" t="str">
        <f>IF(M176="","",IF(M176&gt;=Panduan!$B$4,"Terserap","Perlu Evaluasi"))</f>
        <v/>
      </c>
      <c r="O176" s="30"/>
      <c r="P176" s="30"/>
      <c r="Q176" s="28" t="str">
        <f t="shared" si="6"/>
        <v/>
      </c>
      <c r="R176" s="28" t="str">
        <f t="shared" si="7"/>
        <v/>
      </c>
      <c r="S176" s="23" t="str">
        <f>IF(R176="","",IF(R176&gt;=Panduan!$B$4,"Terserap","Perlu Evaluasi"))</f>
        <v/>
      </c>
      <c r="T176" s="30"/>
      <c r="U176" s="30"/>
      <c r="V176" s="28" t="str">
        <f t="shared" si="8"/>
        <v/>
      </c>
      <c r="W176" s="28" t="str">
        <f t="shared" si="9"/>
        <v/>
      </c>
      <c r="X176" s="23" t="str">
        <f>IF(W176="","",IF(W176&gt;=Panduan!$B$4,"Terserap","Perlu Evaluasi"))</f>
        <v/>
      </c>
      <c r="Y176" s="30"/>
      <c r="Z176" s="30"/>
      <c r="AA176" s="28" t="str">
        <f t="shared" si="10"/>
        <v/>
      </c>
      <c r="AB176" s="28" t="str">
        <f t="shared" si="11"/>
        <v/>
      </c>
      <c r="AC176" s="23" t="str">
        <f>IF(AB176="","",IF(AB176&gt;=Panduan!$B$4,"Terserap","Perlu Evaluasi"))</f>
        <v/>
      </c>
      <c r="AD176" s="30"/>
      <c r="AE176" s="30"/>
      <c r="AF176" s="28" t="str">
        <f t="shared" si="12"/>
        <v/>
      </c>
      <c r="AG176" s="28" t="str">
        <f t="shared" si="13"/>
        <v/>
      </c>
      <c r="AH176" s="23" t="str">
        <f>IF(AG176="","",IF(AG176&gt;=Panduan!$B$4,"Terserap","Perlu Evaluasi"))</f>
        <v/>
      </c>
      <c r="AI176" s="29" t="str">
        <f t="shared" ref="AI176:AJ176" si="185">IF(COUNTA(J176,O176,T176,Y176,AD176)=0,"",SUM(J176,O176,T176,Y176,AD176))</f>
        <v/>
      </c>
      <c r="AJ176" s="29" t="str">
        <f t="shared" si="185"/>
        <v/>
      </c>
      <c r="AK176" s="28" t="str">
        <f t="shared" si="15"/>
        <v/>
      </c>
      <c r="AL176" s="28" t="str">
        <f t="shared" si="16"/>
        <v/>
      </c>
      <c r="AM176" s="23" t="str">
        <f>IF(AL176="","",IF(AL176&gt;=Panduan!$B$4,"Terserap","Perlu Evaluasi"))</f>
        <v/>
      </c>
    </row>
    <row r="177" ht="15.75" customHeight="1">
      <c r="A177" s="23" t="str">
        <f t="shared" si="2"/>
        <v/>
      </c>
      <c r="B177" s="33"/>
      <c r="C177" s="23" t="str">
        <f t="shared" si="3"/>
        <v/>
      </c>
      <c r="D177" s="31"/>
      <c r="E177" s="31"/>
      <c r="F177" s="31"/>
      <c r="G177" s="31"/>
      <c r="H177" s="31"/>
      <c r="I177" s="32"/>
      <c r="J177" s="30"/>
      <c r="K177" s="30"/>
      <c r="L177" s="28" t="str">
        <f t="shared" si="4"/>
        <v/>
      </c>
      <c r="M177" s="28" t="str">
        <f t="shared" si="5"/>
        <v/>
      </c>
      <c r="N177" s="23" t="str">
        <f>IF(M177="","",IF(M177&gt;=Panduan!$B$4,"Terserap","Perlu Evaluasi"))</f>
        <v/>
      </c>
      <c r="O177" s="30"/>
      <c r="P177" s="30"/>
      <c r="Q177" s="28" t="str">
        <f t="shared" si="6"/>
        <v/>
      </c>
      <c r="R177" s="28" t="str">
        <f t="shared" si="7"/>
        <v/>
      </c>
      <c r="S177" s="23" t="str">
        <f>IF(R177="","",IF(R177&gt;=Panduan!$B$4,"Terserap","Perlu Evaluasi"))</f>
        <v/>
      </c>
      <c r="T177" s="30"/>
      <c r="U177" s="30"/>
      <c r="V177" s="28" t="str">
        <f t="shared" si="8"/>
        <v/>
      </c>
      <c r="W177" s="28" t="str">
        <f t="shared" si="9"/>
        <v/>
      </c>
      <c r="X177" s="23" t="str">
        <f>IF(W177="","",IF(W177&gt;=Panduan!$B$4,"Terserap","Perlu Evaluasi"))</f>
        <v/>
      </c>
      <c r="Y177" s="30"/>
      <c r="Z177" s="30"/>
      <c r="AA177" s="28" t="str">
        <f t="shared" si="10"/>
        <v/>
      </c>
      <c r="AB177" s="28" t="str">
        <f t="shared" si="11"/>
        <v/>
      </c>
      <c r="AC177" s="23" t="str">
        <f>IF(AB177="","",IF(AB177&gt;=Panduan!$B$4,"Terserap","Perlu Evaluasi"))</f>
        <v/>
      </c>
      <c r="AD177" s="30"/>
      <c r="AE177" s="30"/>
      <c r="AF177" s="28" t="str">
        <f t="shared" si="12"/>
        <v/>
      </c>
      <c r="AG177" s="28" t="str">
        <f t="shared" si="13"/>
        <v/>
      </c>
      <c r="AH177" s="23" t="str">
        <f>IF(AG177="","",IF(AG177&gt;=Panduan!$B$4,"Terserap","Perlu Evaluasi"))</f>
        <v/>
      </c>
      <c r="AI177" s="29" t="str">
        <f t="shared" ref="AI177:AJ177" si="186">IF(COUNTA(J177,O177,T177,Y177,AD177)=0,"",SUM(J177,O177,T177,Y177,AD177))</f>
        <v/>
      </c>
      <c r="AJ177" s="29" t="str">
        <f t="shared" si="186"/>
        <v/>
      </c>
      <c r="AK177" s="28" t="str">
        <f t="shared" si="15"/>
        <v/>
      </c>
      <c r="AL177" s="28" t="str">
        <f t="shared" si="16"/>
        <v/>
      </c>
      <c r="AM177" s="23" t="str">
        <f>IF(AL177="","",IF(AL177&gt;=Panduan!$B$4,"Terserap","Perlu Evaluasi"))</f>
        <v/>
      </c>
    </row>
    <row r="178" ht="15.75" customHeight="1">
      <c r="A178" s="23" t="str">
        <f t="shared" si="2"/>
        <v/>
      </c>
      <c r="B178" s="33"/>
      <c r="C178" s="23" t="str">
        <f t="shared" si="3"/>
        <v/>
      </c>
      <c r="D178" s="31"/>
      <c r="E178" s="31"/>
      <c r="F178" s="31"/>
      <c r="G178" s="31"/>
      <c r="H178" s="31"/>
      <c r="I178" s="32"/>
      <c r="J178" s="30"/>
      <c r="K178" s="30"/>
      <c r="L178" s="28" t="str">
        <f t="shared" si="4"/>
        <v/>
      </c>
      <c r="M178" s="28" t="str">
        <f t="shared" si="5"/>
        <v/>
      </c>
      <c r="N178" s="23" t="str">
        <f>IF(M178="","",IF(M178&gt;=Panduan!$B$4,"Terserap","Perlu Evaluasi"))</f>
        <v/>
      </c>
      <c r="O178" s="30"/>
      <c r="P178" s="30"/>
      <c r="Q178" s="28" t="str">
        <f t="shared" si="6"/>
        <v/>
      </c>
      <c r="R178" s="28" t="str">
        <f t="shared" si="7"/>
        <v/>
      </c>
      <c r="S178" s="23" t="str">
        <f>IF(R178="","",IF(R178&gt;=Panduan!$B$4,"Terserap","Perlu Evaluasi"))</f>
        <v/>
      </c>
      <c r="T178" s="30"/>
      <c r="U178" s="30"/>
      <c r="V178" s="28" t="str">
        <f t="shared" si="8"/>
        <v/>
      </c>
      <c r="W178" s="28" t="str">
        <f t="shared" si="9"/>
        <v/>
      </c>
      <c r="X178" s="23" t="str">
        <f>IF(W178="","",IF(W178&gt;=Panduan!$B$4,"Terserap","Perlu Evaluasi"))</f>
        <v/>
      </c>
      <c r="Y178" s="30"/>
      <c r="Z178" s="30"/>
      <c r="AA178" s="28" t="str">
        <f t="shared" si="10"/>
        <v/>
      </c>
      <c r="AB178" s="28" t="str">
        <f t="shared" si="11"/>
        <v/>
      </c>
      <c r="AC178" s="23" t="str">
        <f>IF(AB178="","",IF(AB178&gt;=Panduan!$B$4,"Terserap","Perlu Evaluasi"))</f>
        <v/>
      </c>
      <c r="AD178" s="30"/>
      <c r="AE178" s="30"/>
      <c r="AF178" s="28" t="str">
        <f t="shared" si="12"/>
        <v/>
      </c>
      <c r="AG178" s="28" t="str">
        <f t="shared" si="13"/>
        <v/>
      </c>
      <c r="AH178" s="23" t="str">
        <f>IF(AG178="","",IF(AG178&gt;=Panduan!$B$4,"Terserap","Perlu Evaluasi"))</f>
        <v/>
      </c>
      <c r="AI178" s="29" t="str">
        <f t="shared" ref="AI178:AJ178" si="187">IF(COUNTA(J178,O178,T178,Y178,AD178)=0,"",SUM(J178,O178,T178,Y178,AD178))</f>
        <v/>
      </c>
      <c r="AJ178" s="29" t="str">
        <f t="shared" si="187"/>
        <v/>
      </c>
      <c r="AK178" s="28" t="str">
        <f t="shared" si="15"/>
        <v/>
      </c>
      <c r="AL178" s="28" t="str">
        <f t="shared" si="16"/>
        <v/>
      </c>
      <c r="AM178" s="23" t="str">
        <f>IF(AL178="","",IF(AL178&gt;=Panduan!$B$4,"Terserap","Perlu Evaluasi"))</f>
        <v/>
      </c>
    </row>
    <row r="179" ht="15.75" customHeight="1">
      <c r="A179" s="23" t="str">
        <f t="shared" si="2"/>
        <v/>
      </c>
      <c r="B179" s="33"/>
      <c r="C179" s="23" t="str">
        <f t="shared" si="3"/>
        <v/>
      </c>
      <c r="D179" s="31"/>
      <c r="E179" s="31"/>
      <c r="F179" s="31"/>
      <c r="G179" s="31"/>
      <c r="H179" s="31"/>
      <c r="I179" s="32"/>
      <c r="J179" s="30"/>
      <c r="K179" s="30"/>
      <c r="L179" s="28" t="str">
        <f t="shared" si="4"/>
        <v/>
      </c>
      <c r="M179" s="28" t="str">
        <f t="shared" si="5"/>
        <v/>
      </c>
      <c r="N179" s="23" t="str">
        <f>IF(M179="","",IF(M179&gt;=Panduan!$B$4,"Terserap","Perlu Evaluasi"))</f>
        <v/>
      </c>
      <c r="O179" s="30"/>
      <c r="P179" s="30"/>
      <c r="Q179" s="28" t="str">
        <f t="shared" si="6"/>
        <v/>
      </c>
      <c r="R179" s="28" t="str">
        <f t="shared" si="7"/>
        <v/>
      </c>
      <c r="S179" s="23" t="str">
        <f>IF(R179="","",IF(R179&gt;=Panduan!$B$4,"Terserap","Perlu Evaluasi"))</f>
        <v/>
      </c>
      <c r="T179" s="30"/>
      <c r="U179" s="30"/>
      <c r="V179" s="28" t="str">
        <f t="shared" si="8"/>
        <v/>
      </c>
      <c r="W179" s="28" t="str">
        <f t="shared" si="9"/>
        <v/>
      </c>
      <c r="X179" s="23" t="str">
        <f>IF(W179="","",IF(W179&gt;=Panduan!$B$4,"Terserap","Perlu Evaluasi"))</f>
        <v/>
      </c>
      <c r="Y179" s="30"/>
      <c r="Z179" s="30"/>
      <c r="AA179" s="28" t="str">
        <f t="shared" si="10"/>
        <v/>
      </c>
      <c r="AB179" s="28" t="str">
        <f t="shared" si="11"/>
        <v/>
      </c>
      <c r="AC179" s="23" t="str">
        <f>IF(AB179="","",IF(AB179&gt;=Panduan!$B$4,"Terserap","Perlu Evaluasi"))</f>
        <v/>
      </c>
      <c r="AD179" s="30"/>
      <c r="AE179" s="30"/>
      <c r="AF179" s="28" t="str">
        <f t="shared" si="12"/>
        <v/>
      </c>
      <c r="AG179" s="28" t="str">
        <f t="shared" si="13"/>
        <v/>
      </c>
      <c r="AH179" s="23" t="str">
        <f>IF(AG179="","",IF(AG179&gt;=Panduan!$B$4,"Terserap","Perlu Evaluasi"))</f>
        <v/>
      </c>
      <c r="AI179" s="29" t="str">
        <f t="shared" ref="AI179:AJ179" si="188">IF(COUNTA(J179,O179,T179,Y179,AD179)=0,"",SUM(J179,O179,T179,Y179,AD179))</f>
        <v/>
      </c>
      <c r="AJ179" s="29" t="str">
        <f t="shared" si="188"/>
        <v/>
      </c>
      <c r="AK179" s="28" t="str">
        <f t="shared" si="15"/>
        <v/>
      </c>
      <c r="AL179" s="28" t="str">
        <f t="shared" si="16"/>
        <v/>
      </c>
      <c r="AM179" s="23" t="str">
        <f>IF(AL179="","",IF(AL179&gt;=Panduan!$B$4,"Terserap","Perlu Evaluasi"))</f>
        <v/>
      </c>
    </row>
    <row r="180" ht="15.75" customHeight="1">
      <c r="A180" s="23" t="str">
        <f t="shared" si="2"/>
        <v/>
      </c>
      <c r="B180" s="33"/>
      <c r="C180" s="23" t="str">
        <f t="shared" si="3"/>
        <v/>
      </c>
      <c r="D180" s="31"/>
      <c r="E180" s="31"/>
      <c r="F180" s="31"/>
      <c r="G180" s="31"/>
      <c r="H180" s="31"/>
      <c r="I180" s="32"/>
      <c r="J180" s="30"/>
      <c r="K180" s="30"/>
      <c r="L180" s="28" t="str">
        <f t="shared" si="4"/>
        <v/>
      </c>
      <c r="M180" s="28" t="str">
        <f t="shared" si="5"/>
        <v/>
      </c>
      <c r="N180" s="23" t="str">
        <f>IF(M180="","",IF(M180&gt;=Panduan!$B$4,"Terserap","Perlu Evaluasi"))</f>
        <v/>
      </c>
      <c r="O180" s="30"/>
      <c r="P180" s="30"/>
      <c r="Q180" s="28" t="str">
        <f t="shared" si="6"/>
        <v/>
      </c>
      <c r="R180" s="28" t="str">
        <f t="shared" si="7"/>
        <v/>
      </c>
      <c r="S180" s="23" t="str">
        <f>IF(R180="","",IF(R180&gt;=Panduan!$B$4,"Terserap","Perlu Evaluasi"))</f>
        <v/>
      </c>
      <c r="T180" s="30"/>
      <c r="U180" s="30"/>
      <c r="V180" s="28" t="str">
        <f t="shared" si="8"/>
        <v/>
      </c>
      <c r="W180" s="28" t="str">
        <f t="shared" si="9"/>
        <v/>
      </c>
      <c r="X180" s="23" t="str">
        <f>IF(W180="","",IF(W180&gt;=Panduan!$B$4,"Terserap","Perlu Evaluasi"))</f>
        <v/>
      </c>
      <c r="Y180" s="30"/>
      <c r="Z180" s="30"/>
      <c r="AA180" s="28" t="str">
        <f t="shared" si="10"/>
        <v/>
      </c>
      <c r="AB180" s="28" t="str">
        <f t="shared" si="11"/>
        <v/>
      </c>
      <c r="AC180" s="23" t="str">
        <f>IF(AB180="","",IF(AB180&gt;=Panduan!$B$4,"Terserap","Perlu Evaluasi"))</f>
        <v/>
      </c>
      <c r="AD180" s="30"/>
      <c r="AE180" s="30"/>
      <c r="AF180" s="28" t="str">
        <f t="shared" si="12"/>
        <v/>
      </c>
      <c r="AG180" s="28" t="str">
        <f t="shared" si="13"/>
        <v/>
      </c>
      <c r="AH180" s="23" t="str">
        <f>IF(AG180="","",IF(AG180&gt;=Panduan!$B$4,"Terserap","Perlu Evaluasi"))</f>
        <v/>
      </c>
      <c r="AI180" s="29" t="str">
        <f t="shared" ref="AI180:AJ180" si="189">IF(COUNTA(J180,O180,T180,Y180,AD180)=0,"",SUM(J180,O180,T180,Y180,AD180))</f>
        <v/>
      </c>
      <c r="AJ180" s="29" t="str">
        <f t="shared" si="189"/>
        <v/>
      </c>
      <c r="AK180" s="28" t="str">
        <f t="shared" si="15"/>
        <v/>
      </c>
      <c r="AL180" s="28" t="str">
        <f t="shared" si="16"/>
        <v/>
      </c>
      <c r="AM180" s="23" t="str">
        <f>IF(AL180="","",IF(AL180&gt;=Panduan!$B$4,"Terserap","Perlu Evaluasi"))</f>
        <v/>
      </c>
    </row>
    <row r="181" ht="15.75" customHeight="1">
      <c r="A181" s="23" t="str">
        <f t="shared" si="2"/>
        <v/>
      </c>
      <c r="B181" s="33"/>
      <c r="C181" s="23" t="str">
        <f t="shared" si="3"/>
        <v/>
      </c>
      <c r="D181" s="31"/>
      <c r="E181" s="31"/>
      <c r="F181" s="31"/>
      <c r="G181" s="31"/>
      <c r="H181" s="31"/>
      <c r="I181" s="32"/>
      <c r="J181" s="30"/>
      <c r="K181" s="30"/>
      <c r="L181" s="28" t="str">
        <f t="shared" si="4"/>
        <v/>
      </c>
      <c r="M181" s="28" t="str">
        <f t="shared" si="5"/>
        <v/>
      </c>
      <c r="N181" s="23" t="str">
        <f>IF(M181="","",IF(M181&gt;=Panduan!$B$4,"Terserap","Perlu Evaluasi"))</f>
        <v/>
      </c>
      <c r="O181" s="30"/>
      <c r="P181" s="30"/>
      <c r="Q181" s="28" t="str">
        <f t="shared" si="6"/>
        <v/>
      </c>
      <c r="R181" s="28" t="str">
        <f t="shared" si="7"/>
        <v/>
      </c>
      <c r="S181" s="23" t="str">
        <f>IF(R181="","",IF(R181&gt;=Panduan!$B$4,"Terserap","Perlu Evaluasi"))</f>
        <v/>
      </c>
      <c r="T181" s="30"/>
      <c r="U181" s="30"/>
      <c r="V181" s="28" t="str">
        <f t="shared" si="8"/>
        <v/>
      </c>
      <c r="W181" s="28" t="str">
        <f t="shared" si="9"/>
        <v/>
      </c>
      <c r="X181" s="23" t="str">
        <f>IF(W181="","",IF(W181&gt;=Panduan!$B$4,"Terserap","Perlu Evaluasi"))</f>
        <v/>
      </c>
      <c r="Y181" s="30"/>
      <c r="Z181" s="30"/>
      <c r="AA181" s="28" t="str">
        <f t="shared" si="10"/>
        <v/>
      </c>
      <c r="AB181" s="28" t="str">
        <f t="shared" si="11"/>
        <v/>
      </c>
      <c r="AC181" s="23" t="str">
        <f>IF(AB181="","",IF(AB181&gt;=Panduan!$B$4,"Terserap","Perlu Evaluasi"))</f>
        <v/>
      </c>
      <c r="AD181" s="30"/>
      <c r="AE181" s="30"/>
      <c r="AF181" s="28" t="str">
        <f t="shared" si="12"/>
        <v/>
      </c>
      <c r="AG181" s="28" t="str">
        <f t="shared" si="13"/>
        <v/>
      </c>
      <c r="AH181" s="23" t="str">
        <f>IF(AG181="","",IF(AG181&gt;=Panduan!$B$4,"Terserap","Perlu Evaluasi"))</f>
        <v/>
      </c>
      <c r="AI181" s="29" t="str">
        <f t="shared" ref="AI181:AJ181" si="190">IF(COUNTA(J181,O181,T181,Y181,AD181)=0,"",SUM(J181,O181,T181,Y181,AD181))</f>
        <v/>
      </c>
      <c r="AJ181" s="29" t="str">
        <f t="shared" si="190"/>
        <v/>
      </c>
      <c r="AK181" s="28" t="str">
        <f t="shared" si="15"/>
        <v/>
      </c>
      <c r="AL181" s="28" t="str">
        <f t="shared" si="16"/>
        <v/>
      </c>
      <c r="AM181" s="23" t="str">
        <f>IF(AL181="","",IF(AL181&gt;=Panduan!$B$4,"Terserap","Perlu Evaluasi"))</f>
        <v/>
      </c>
    </row>
    <row r="182" ht="15.75" customHeight="1">
      <c r="A182" s="23" t="str">
        <f t="shared" si="2"/>
        <v/>
      </c>
      <c r="B182" s="33"/>
      <c r="C182" s="23" t="str">
        <f t="shared" si="3"/>
        <v/>
      </c>
      <c r="D182" s="31"/>
      <c r="E182" s="31"/>
      <c r="F182" s="31"/>
      <c r="G182" s="31"/>
      <c r="H182" s="31"/>
      <c r="I182" s="32"/>
      <c r="J182" s="30"/>
      <c r="K182" s="30"/>
      <c r="L182" s="28" t="str">
        <f t="shared" si="4"/>
        <v/>
      </c>
      <c r="M182" s="28" t="str">
        <f t="shared" si="5"/>
        <v/>
      </c>
      <c r="N182" s="23" t="str">
        <f>IF(M182="","",IF(M182&gt;=Panduan!$B$4,"Terserap","Perlu Evaluasi"))</f>
        <v/>
      </c>
      <c r="O182" s="30"/>
      <c r="P182" s="30"/>
      <c r="Q182" s="28" t="str">
        <f t="shared" si="6"/>
        <v/>
      </c>
      <c r="R182" s="28" t="str">
        <f t="shared" si="7"/>
        <v/>
      </c>
      <c r="S182" s="23" t="str">
        <f>IF(R182="","",IF(R182&gt;=Panduan!$B$4,"Terserap","Perlu Evaluasi"))</f>
        <v/>
      </c>
      <c r="T182" s="30"/>
      <c r="U182" s="30"/>
      <c r="V182" s="28" t="str">
        <f t="shared" si="8"/>
        <v/>
      </c>
      <c r="W182" s="28" t="str">
        <f t="shared" si="9"/>
        <v/>
      </c>
      <c r="X182" s="23" t="str">
        <f>IF(W182="","",IF(W182&gt;=Panduan!$B$4,"Terserap","Perlu Evaluasi"))</f>
        <v/>
      </c>
      <c r="Y182" s="30"/>
      <c r="Z182" s="30"/>
      <c r="AA182" s="28" t="str">
        <f t="shared" si="10"/>
        <v/>
      </c>
      <c r="AB182" s="28" t="str">
        <f t="shared" si="11"/>
        <v/>
      </c>
      <c r="AC182" s="23" t="str">
        <f>IF(AB182="","",IF(AB182&gt;=Panduan!$B$4,"Terserap","Perlu Evaluasi"))</f>
        <v/>
      </c>
      <c r="AD182" s="30"/>
      <c r="AE182" s="30"/>
      <c r="AF182" s="28" t="str">
        <f t="shared" si="12"/>
        <v/>
      </c>
      <c r="AG182" s="28" t="str">
        <f t="shared" si="13"/>
        <v/>
      </c>
      <c r="AH182" s="23" t="str">
        <f>IF(AG182="","",IF(AG182&gt;=Panduan!$B$4,"Terserap","Perlu Evaluasi"))</f>
        <v/>
      </c>
      <c r="AI182" s="29" t="str">
        <f t="shared" ref="AI182:AJ182" si="191">IF(COUNTA(J182,O182,T182,Y182,AD182)=0,"",SUM(J182,O182,T182,Y182,AD182))</f>
        <v/>
      </c>
      <c r="AJ182" s="29" t="str">
        <f t="shared" si="191"/>
        <v/>
      </c>
      <c r="AK182" s="28" t="str">
        <f t="shared" si="15"/>
        <v/>
      </c>
      <c r="AL182" s="28" t="str">
        <f t="shared" si="16"/>
        <v/>
      </c>
      <c r="AM182" s="23" t="str">
        <f>IF(AL182="","",IF(AL182&gt;=Panduan!$B$4,"Terserap","Perlu Evaluasi"))</f>
        <v/>
      </c>
    </row>
    <row r="183" ht="15.75" customHeight="1">
      <c r="A183" s="23" t="str">
        <f t="shared" si="2"/>
        <v/>
      </c>
      <c r="B183" s="33"/>
      <c r="C183" s="23" t="str">
        <f t="shared" si="3"/>
        <v/>
      </c>
      <c r="D183" s="31"/>
      <c r="E183" s="31"/>
      <c r="F183" s="31"/>
      <c r="G183" s="31"/>
      <c r="H183" s="31"/>
      <c r="I183" s="32"/>
      <c r="J183" s="30"/>
      <c r="K183" s="30"/>
      <c r="L183" s="28" t="str">
        <f t="shared" si="4"/>
        <v/>
      </c>
      <c r="M183" s="28" t="str">
        <f t="shared" si="5"/>
        <v/>
      </c>
      <c r="N183" s="23" t="str">
        <f>IF(M183="","",IF(M183&gt;=Panduan!$B$4,"Terserap","Perlu Evaluasi"))</f>
        <v/>
      </c>
      <c r="O183" s="30"/>
      <c r="P183" s="30"/>
      <c r="Q183" s="28" t="str">
        <f t="shared" si="6"/>
        <v/>
      </c>
      <c r="R183" s="28" t="str">
        <f t="shared" si="7"/>
        <v/>
      </c>
      <c r="S183" s="23" t="str">
        <f>IF(R183="","",IF(R183&gt;=Panduan!$B$4,"Terserap","Perlu Evaluasi"))</f>
        <v/>
      </c>
      <c r="T183" s="30"/>
      <c r="U183" s="30"/>
      <c r="V183" s="28" t="str">
        <f t="shared" si="8"/>
        <v/>
      </c>
      <c r="W183" s="28" t="str">
        <f t="shared" si="9"/>
        <v/>
      </c>
      <c r="X183" s="23" t="str">
        <f>IF(W183="","",IF(W183&gt;=Panduan!$B$4,"Terserap","Perlu Evaluasi"))</f>
        <v/>
      </c>
      <c r="Y183" s="30"/>
      <c r="Z183" s="30"/>
      <c r="AA183" s="28" t="str">
        <f t="shared" si="10"/>
        <v/>
      </c>
      <c r="AB183" s="28" t="str">
        <f t="shared" si="11"/>
        <v/>
      </c>
      <c r="AC183" s="23" t="str">
        <f>IF(AB183="","",IF(AB183&gt;=Panduan!$B$4,"Terserap","Perlu Evaluasi"))</f>
        <v/>
      </c>
      <c r="AD183" s="30"/>
      <c r="AE183" s="30"/>
      <c r="AF183" s="28" t="str">
        <f t="shared" si="12"/>
        <v/>
      </c>
      <c r="AG183" s="28" t="str">
        <f t="shared" si="13"/>
        <v/>
      </c>
      <c r="AH183" s="23" t="str">
        <f>IF(AG183="","",IF(AG183&gt;=Panduan!$B$4,"Terserap","Perlu Evaluasi"))</f>
        <v/>
      </c>
      <c r="AI183" s="29" t="str">
        <f t="shared" ref="AI183:AJ183" si="192">IF(COUNTA(J183,O183,T183,Y183,AD183)=0,"",SUM(J183,O183,T183,Y183,AD183))</f>
        <v/>
      </c>
      <c r="AJ183" s="29" t="str">
        <f t="shared" si="192"/>
        <v/>
      </c>
      <c r="AK183" s="28" t="str">
        <f t="shared" si="15"/>
        <v/>
      </c>
      <c r="AL183" s="28" t="str">
        <f t="shared" si="16"/>
        <v/>
      </c>
      <c r="AM183" s="23" t="str">
        <f>IF(AL183="","",IF(AL183&gt;=Panduan!$B$4,"Terserap","Perlu Evaluasi"))</f>
        <v/>
      </c>
    </row>
    <row r="184" ht="15.75" customHeight="1">
      <c r="A184" s="23" t="str">
        <f t="shared" si="2"/>
        <v/>
      </c>
      <c r="B184" s="33"/>
      <c r="C184" s="23" t="str">
        <f t="shared" si="3"/>
        <v/>
      </c>
      <c r="D184" s="31"/>
      <c r="E184" s="31"/>
      <c r="F184" s="31"/>
      <c r="G184" s="31"/>
      <c r="H184" s="31"/>
      <c r="I184" s="32"/>
      <c r="J184" s="30"/>
      <c r="K184" s="30"/>
      <c r="L184" s="28" t="str">
        <f t="shared" si="4"/>
        <v/>
      </c>
      <c r="M184" s="28" t="str">
        <f t="shared" si="5"/>
        <v/>
      </c>
      <c r="N184" s="23" t="str">
        <f>IF(M184="","",IF(M184&gt;=Panduan!$B$4,"Terserap","Perlu Evaluasi"))</f>
        <v/>
      </c>
      <c r="O184" s="30"/>
      <c r="P184" s="30"/>
      <c r="Q184" s="28" t="str">
        <f t="shared" si="6"/>
        <v/>
      </c>
      <c r="R184" s="28" t="str">
        <f t="shared" si="7"/>
        <v/>
      </c>
      <c r="S184" s="23" t="str">
        <f>IF(R184="","",IF(R184&gt;=Panduan!$B$4,"Terserap","Perlu Evaluasi"))</f>
        <v/>
      </c>
      <c r="T184" s="30"/>
      <c r="U184" s="30"/>
      <c r="V184" s="28" t="str">
        <f t="shared" si="8"/>
        <v/>
      </c>
      <c r="W184" s="28" t="str">
        <f t="shared" si="9"/>
        <v/>
      </c>
      <c r="X184" s="23" t="str">
        <f>IF(W184="","",IF(W184&gt;=Panduan!$B$4,"Terserap","Perlu Evaluasi"))</f>
        <v/>
      </c>
      <c r="Y184" s="30"/>
      <c r="Z184" s="30"/>
      <c r="AA184" s="28" t="str">
        <f t="shared" si="10"/>
        <v/>
      </c>
      <c r="AB184" s="28" t="str">
        <f t="shared" si="11"/>
        <v/>
      </c>
      <c r="AC184" s="23" t="str">
        <f>IF(AB184="","",IF(AB184&gt;=Panduan!$B$4,"Terserap","Perlu Evaluasi"))</f>
        <v/>
      </c>
      <c r="AD184" s="30"/>
      <c r="AE184" s="30"/>
      <c r="AF184" s="28" t="str">
        <f t="shared" si="12"/>
        <v/>
      </c>
      <c r="AG184" s="28" t="str">
        <f t="shared" si="13"/>
        <v/>
      </c>
      <c r="AH184" s="23" t="str">
        <f>IF(AG184="","",IF(AG184&gt;=Panduan!$B$4,"Terserap","Perlu Evaluasi"))</f>
        <v/>
      </c>
      <c r="AI184" s="29" t="str">
        <f t="shared" ref="AI184:AJ184" si="193">IF(COUNTA(J184,O184,T184,Y184,AD184)=0,"",SUM(J184,O184,T184,Y184,AD184))</f>
        <v/>
      </c>
      <c r="AJ184" s="29" t="str">
        <f t="shared" si="193"/>
        <v/>
      </c>
      <c r="AK184" s="28" t="str">
        <f t="shared" si="15"/>
        <v/>
      </c>
      <c r="AL184" s="28" t="str">
        <f t="shared" si="16"/>
        <v/>
      </c>
      <c r="AM184" s="23" t="str">
        <f>IF(AL184="","",IF(AL184&gt;=Panduan!$B$4,"Terserap","Perlu Evaluasi"))</f>
        <v/>
      </c>
    </row>
    <row r="185" ht="15.75" customHeight="1">
      <c r="A185" s="23" t="str">
        <f t="shared" si="2"/>
        <v/>
      </c>
      <c r="B185" s="33"/>
      <c r="C185" s="23" t="str">
        <f t="shared" si="3"/>
        <v/>
      </c>
      <c r="D185" s="31"/>
      <c r="E185" s="31"/>
      <c r="F185" s="31"/>
      <c r="G185" s="31"/>
      <c r="H185" s="31"/>
      <c r="I185" s="32"/>
      <c r="J185" s="30"/>
      <c r="K185" s="30"/>
      <c r="L185" s="28" t="str">
        <f t="shared" si="4"/>
        <v/>
      </c>
      <c r="M185" s="28" t="str">
        <f t="shared" si="5"/>
        <v/>
      </c>
      <c r="N185" s="23" t="str">
        <f>IF(M185="","",IF(M185&gt;=Panduan!$B$4,"Terserap","Perlu Evaluasi"))</f>
        <v/>
      </c>
      <c r="O185" s="30"/>
      <c r="P185" s="30"/>
      <c r="Q185" s="28" t="str">
        <f t="shared" si="6"/>
        <v/>
      </c>
      <c r="R185" s="28" t="str">
        <f t="shared" si="7"/>
        <v/>
      </c>
      <c r="S185" s="23" t="str">
        <f>IF(R185="","",IF(R185&gt;=Panduan!$B$4,"Terserap","Perlu Evaluasi"))</f>
        <v/>
      </c>
      <c r="T185" s="30"/>
      <c r="U185" s="30"/>
      <c r="V185" s="28" t="str">
        <f t="shared" si="8"/>
        <v/>
      </c>
      <c r="W185" s="28" t="str">
        <f t="shared" si="9"/>
        <v/>
      </c>
      <c r="X185" s="23" t="str">
        <f>IF(W185="","",IF(W185&gt;=Panduan!$B$4,"Terserap","Perlu Evaluasi"))</f>
        <v/>
      </c>
      <c r="Y185" s="30"/>
      <c r="Z185" s="30"/>
      <c r="AA185" s="28" t="str">
        <f t="shared" si="10"/>
        <v/>
      </c>
      <c r="AB185" s="28" t="str">
        <f t="shared" si="11"/>
        <v/>
      </c>
      <c r="AC185" s="23" t="str">
        <f>IF(AB185="","",IF(AB185&gt;=Panduan!$B$4,"Terserap","Perlu Evaluasi"))</f>
        <v/>
      </c>
      <c r="AD185" s="30"/>
      <c r="AE185" s="30"/>
      <c r="AF185" s="28" t="str">
        <f t="shared" si="12"/>
        <v/>
      </c>
      <c r="AG185" s="28" t="str">
        <f t="shared" si="13"/>
        <v/>
      </c>
      <c r="AH185" s="23" t="str">
        <f>IF(AG185="","",IF(AG185&gt;=Panduan!$B$4,"Terserap","Perlu Evaluasi"))</f>
        <v/>
      </c>
      <c r="AI185" s="29" t="str">
        <f t="shared" ref="AI185:AJ185" si="194">IF(COUNTA(J185,O185,T185,Y185,AD185)=0,"",SUM(J185,O185,T185,Y185,AD185))</f>
        <v/>
      </c>
      <c r="AJ185" s="29" t="str">
        <f t="shared" si="194"/>
        <v/>
      </c>
      <c r="AK185" s="28" t="str">
        <f t="shared" si="15"/>
        <v/>
      </c>
      <c r="AL185" s="28" t="str">
        <f t="shared" si="16"/>
        <v/>
      </c>
      <c r="AM185" s="23" t="str">
        <f>IF(AL185="","",IF(AL185&gt;=Panduan!$B$4,"Terserap","Perlu Evaluasi"))</f>
        <v/>
      </c>
    </row>
    <row r="186" ht="15.75" customHeight="1">
      <c r="A186" s="23" t="str">
        <f t="shared" si="2"/>
        <v/>
      </c>
      <c r="B186" s="33"/>
      <c r="C186" s="23" t="str">
        <f t="shared" si="3"/>
        <v/>
      </c>
      <c r="D186" s="31"/>
      <c r="E186" s="31"/>
      <c r="F186" s="31"/>
      <c r="G186" s="31"/>
      <c r="H186" s="31"/>
      <c r="I186" s="32"/>
      <c r="J186" s="30"/>
      <c r="K186" s="30"/>
      <c r="L186" s="28" t="str">
        <f t="shared" si="4"/>
        <v/>
      </c>
      <c r="M186" s="28" t="str">
        <f t="shared" si="5"/>
        <v/>
      </c>
      <c r="N186" s="23" t="str">
        <f>IF(M186="","",IF(M186&gt;=Panduan!$B$4,"Terserap","Perlu Evaluasi"))</f>
        <v/>
      </c>
      <c r="O186" s="30"/>
      <c r="P186" s="30"/>
      <c r="Q186" s="28" t="str">
        <f t="shared" si="6"/>
        <v/>
      </c>
      <c r="R186" s="28" t="str">
        <f t="shared" si="7"/>
        <v/>
      </c>
      <c r="S186" s="23" t="str">
        <f>IF(R186="","",IF(R186&gt;=Panduan!$B$4,"Terserap","Perlu Evaluasi"))</f>
        <v/>
      </c>
      <c r="T186" s="30"/>
      <c r="U186" s="30"/>
      <c r="V186" s="28" t="str">
        <f t="shared" si="8"/>
        <v/>
      </c>
      <c r="W186" s="28" t="str">
        <f t="shared" si="9"/>
        <v/>
      </c>
      <c r="X186" s="23" t="str">
        <f>IF(W186="","",IF(W186&gt;=Panduan!$B$4,"Terserap","Perlu Evaluasi"))</f>
        <v/>
      </c>
      <c r="Y186" s="30"/>
      <c r="Z186" s="30"/>
      <c r="AA186" s="28" t="str">
        <f t="shared" si="10"/>
        <v/>
      </c>
      <c r="AB186" s="28" t="str">
        <f t="shared" si="11"/>
        <v/>
      </c>
      <c r="AC186" s="23" t="str">
        <f>IF(AB186="","",IF(AB186&gt;=Panduan!$B$4,"Terserap","Perlu Evaluasi"))</f>
        <v/>
      </c>
      <c r="AD186" s="30"/>
      <c r="AE186" s="30"/>
      <c r="AF186" s="28" t="str">
        <f t="shared" si="12"/>
        <v/>
      </c>
      <c r="AG186" s="28" t="str">
        <f t="shared" si="13"/>
        <v/>
      </c>
      <c r="AH186" s="23" t="str">
        <f>IF(AG186="","",IF(AG186&gt;=Panduan!$B$4,"Terserap","Perlu Evaluasi"))</f>
        <v/>
      </c>
      <c r="AI186" s="29" t="str">
        <f t="shared" ref="AI186:AJ186" si="195">IF(COUNTA(J186,O186,T186,Y186,AD186)=0,"",SUM(J186,O186,T186,Y186,AD186))</f>
        <v/>
      </c>
      <c r="AJ186" s="29" t="str">
        <f t="shared" si="195"/>
        <v/>
      </c>
      <c r="AK186" s="28" t="str">
        <f t="shared" si="15"/>
        <v/>
      </c>
      <c r="AL186" s="28" t="str">
        <f t="shared" si="16"/>
        <v/>
      </c>
      <c r="AM186" s="23" t="str">
        <f>IF(AL186="","",IF(AL186&gt;=Panduan!$B$4,"Terserap","Perlu Evaluasi"))</f>
        <v/>
      </c>
    </row>
    <row r="187" ht="15.75" customHeight="1">
      <c r="A187" s="23" t="str">
        <f t="shared" si="2"/>
        <v/>
      </c>
      <c r="B187" s="33"/>
      <c r="C187" s="23" t="str">
        <f t="shared" si="3"/>
        <v/>
      </c>
      <c r="D187" s="31"/>
      <c r="E187" s="31"/>
      <c r="F187" s="31"/>
      <c r="G187" s="31"/>
      <c r="H187" s="31"/>
      <c r="I187" s="32"/>
      <c r="J187" s="30"/>
      <c r="K187" s="30"/>
      <c r="L187" s="28" t="str">
        <f t="shared" si="4"/>
        <v/>
      </c>
      <c r="M187" s="28" t="str">
        <f t="shared" si="5"/>
        <v/>
      </c>
      <c r="N187" s="23" t="str">
        <f>IF(M187="","",IF(M187&gt;=Panduan!$B$4,"Terserap","Perlu Evaluasi"))</f>
        <v/>
      </c>
      <c r="O187" s="30"/>
      <c r="P187" s="30"/>
      <c r="Q187" s="28" t="str">
        <f t="shared" si="6"/>
        <v/>
      </c>
      <c r="R187" s="28" t="str">
        <f t="shared" si="7"/>
        <v/>
      </c>
      <c r="S187" s="23" t="str">
        <f>IF(R187="","",IF(R187&gt;=Panduan!$B$4,"Terserap","Perlu Evaluasi"))</f>
        <v/>
      </c>
      <c r="T187" s="30"/>
      <c r="U187" s="30"/>
      <c r="V187" s="28" t="str">
        <f t="shared" si="8"/>
        <v/>
      </c>
      <c r="W187" s="28" t="str">
        <f t="shared" si="9"/>
        <v/>
      </c>
      <c r="X187" s="23" t="str">
        <f>IF(W187="","",IF(W187&gt;=Panduan!$B$4,"Terserap","Perlu Evaluasi"))</f>
        <v/>
      </c>
      <c r="Y187" s="30"/>
      <c r="Z187" s="30"/>
      <c r="AA187" s="28" t="str">
        <f t="shared" si="10"/>
        <v/>
      </c>
      <c r="AB187" s="28" t="str">
        <f t="shared" si="11"/>
        <v/>
      </c>
      <c r="AC187" s="23" t="str">
        <f>IF(AB187="","",IF(AB187&gt;=Panduan!$B$4,"Terserap","Perlu Evaluasi"))</f>
        <v/>
      </c>
      <c r="AD187" s="30"/>
      <c r="AE187" s="30"/>
      <c r="AF187" s="28" t="str">
        <f t="shared" si="12"/>
        <v/>
      </c>
      <c r="AG187" s="28" t="str">
        <f t="shared" si="13"/>
        <v/>
      </c>
      <c r="AH187" s="23" t="str">
        <f>IF(AG187="","",IF(AG187&gt;=Panduan!$B$4,"Terserap","Perlu Evaluasi"))</f>
        <v/>
      </c>
      <c r="AI187" s="29" t="str">
        <f t="shared" ref="AI187:AJ187" si="196">IF(COUNTA(J187,O187,T187,Y187,AD187)=0,"",SUM(J187,O187,T187,Y187,AD187))</f>
        <v/>
      </c>
      <c r="AJ187" s="29" t="str">
        <f t="shared" si="196"/>
        <v/>
      </c>
      <c r="AK187" s="28" t="str">
        <f t="shared" si="15"/>
        <v/>
      </c>
      <c r="AL187" s="28" t="str">
        <f t="shared" si="16"/>
        <v/>
      </c>
      <c r="AM187" s="23" t="str">
        <f>IF(AL187="","",IF(AL187&gt;=Panduan!$B$4,"Terserap","Perlu Evaluasi"))</f>
        <v/>
      </c>
    </row>
    <row r="188" ht="15.75" customHeight="1">
      <c r="A188" s="23" t="str">
        <f t="shared" si="2"/>
        <v/>
      </c>
      <c r="B188" s="33"/>
      <c r="C188" s="23" t="str">
        <f t="shared" si="3"/>
        <v/>
      </c>
      <c r="D188" s="31"/>
      <c r="E188" s="31"/>
      <c r="F188" s="31"/>
      <c r="G188" s="31"/>
      <c r="H188" s="31"/>
      <c r="I188" s="32"/>
      <c r="J188" s="30"/>
      <c r="K188" s="30"/>
      <c r="L188" s="28" t="str">
        <f t="shared" si="4"/>
        <v/>
      </c>
      <c r="M188" s="28" t="str">
        <f t="shared" si="5"/>
        <v/>
      </c>
      <c r="N188" s="23" t="str">
        <f>IF(M188="","",IF(M188&gt;=Panduan!$B$4,"Terserap","Perlu Evaluasi"))</f>
        <v/>
      </c>
      <c r="O188" s="30"/>
      <c r="P188" s="30"/>
      <c r="Q188" s="28" t="str">
        <f t="shared" si="6"/>
        <v/>
      </c>
      <c r="R188" s="28" t="str">
        <f t="shared" si="7"/>
        <v/>
      </c>
      <c r="S188" s="23" t="str">
        <f>IF(R188="","",IF(R188&gt;=Panduan!$B$4,"Terserap","Perlu Evaluasi"))</f>
        <v/>
      </c>
      <c r="T188" s="30"/>
      <c r="U188" s="30"/>
      <c r="V188" s="28" t="str">
        <f t="shared" si="8"/>
        <v/>
      </c>
      <c r="W188" s="28" t="str">
        <f t="shared" si="9"/>
        <v/>
      </c>
      <c r="X188" s="23" t="str">
        <f>IF(W188="","",IF(W188&gt;=Panduan!$B$4,"Terserap","Perlu Evaluasi"))</f>
        <v/>
      </c>
      <c r="Y188" s="30"/>
      <c r="Z188" s="30"/>
      <c r="AA188" s="28" t="str">
        <f t="shared" si="10"/>
        <v/>
      </c>
      <c r="AB188" s="28" t="str">
        <f t="shared" si="11"/>
        <v/>
      </c>
      <c r="AC188" s="23" t="str">
        <f>IF(AB188="","",IF(AB188&gt;=Panduan!$B$4,"Terserap","Perlu Evaluasi"))</f>
        <v/>
      </c>
      <c r="AD188" s="30"/>
      <c r="AE188" s="30"/>
      <c r="AF188" s="28" t="str">
        <f t="shared" si="12"/>
        <v/>
      </c>
      <c r="AG188" s="28" t="str">
        <f t="shared" si="13"/>
        <v/>
      </c>
      <c r="AH188" s="23" t="str">
        <f>IF(AG188="","",IF(AG188&gt;=Panduan!$B$4,"Terserap","Perlu Evaluasi"))</f>
        <v/>
      </c>
      <c r="AI188" s="29" t="str">
        <f t="shared" ref="AI188:AJ188" si="197">IF(COUNTA(J188,O188,T188,Y188,AD188)=0,"",SUM(J188,O188,T188,Y188,AD188))</f>
        <v/>
      </c>
      <c r="AJ188" s="29" t="str">
        <f t="shared" si="197"/>
        <v/>
      </c>
      <c r="AK188" s="28" t="str">
        <f t="shared" si="15"/>
        <v/>
      </c>
      <c r="AL188" s="28" t="str">
        <f t="shared" si="16"/>
        <v/>
      </c>
      <c r="AM188" s="23" t="str">
        <f>IF(AL188="","",IF(AL188&gt;=Panduan!$B$4,"Terserap","Perlu Evaluasi"))</f>
        <v/>
      </c>
    </row>
    <row r="189" ht="15.75" customHeight="1">
      <c r="A189" s="23" t="str">
        <f t="shared" si="2"/>
        <v/>
      </c>
      <c r="B189" s="33"/>
      <c r="C189" s="23" t="str">
        <f t="shared" si="3"/>
        <v/>
      </c>
      <c r="D189" s="31"/>
      <c r="E189" s="31"/>
      <c r="F189" s="31"/>
      <c r="G189" s="31"/>
      <c r="H189" s="31"/>
      <c r="I189" s="32"/>
      <c r="J189" s="30"/>
      <c r="K189" s="30"/>
      <c r="L189" s="28" t="str">
        <f t="shared" si="4"/>
        <v/>
      </c>
      <c r="M189" s="28" t="str">
        <f t="shared" si="5"/>
        <v/>
      </c>
      <c r="N189" s="23" t="str">
        <f>IF(M189="","",IF(M189&gt;=Panduan!$B$4,"Terserap","Perlu Evaluasi"))</f>
        <v/>
      </c>
      <c r="O189" s="30"/>
      <c r="P189" s="30"/>
      <c r="Q189" s="28" t="str">
        <f t="shared" si="6"/>
        <v/>
      </c>
      <c r="R189" s="28" t="str">
        <f t="shared" si="7"/>
        <v/>
      </c>
      <c r="S189" s="23" t="str">
        <f>IF(R189="","",IF(R189&gt;=Panduan!$B$4,"Terserap","Perlu Evaluasi"))</f>
        <v/>
      </c>
      <c r="T189" s="30"/>
      <c r="U189" s="30"/>
      <c r="V189" s="28" t="str">
        <f t="shared" si="8"/>
        <v/>
      </c>
      <c r="W189" s="28" t="str">
        <f t="shared" si="9"/>
        <v/>
      </c>
      <c r="X189" s="23" t="str">
        <f>IF(W189="","",IF(W189&gt;=Panduan!$B$4,"Terserap","Perlu Evaluasi"))</f>
        <v/>
      </c>
      <c r="Y189" s="30"/>
      <c r="Z189" s="30"/>
      <c r="AA189" s="28" t="str">
        <f t="shared" si="10"/>
        <v/>
      </c>
      <c r="AB189" s="28" t="str">
        <f t="shared" si="11"/>
        <v/>
      </c>
      <c r="AC189" s="23" t="str">
        <f>IF(AB189="","",IF(AB189&gt;=Panduan!$B$4,"Terserap","Perlu Evaluasi"))</f>
        <v/>
      </c>
      <c r="AD189" s="30"/>
      <c r="AE189" s="30"/>
      <c r="AF189" s="28" t="str">
        <f t="shared" si="12"/>
        <v/>
      </c>
      <c r="AG189" s="28" t="str">
        <f t="shared" si="13"/>
        <v/>
      </c>
      <c r="AH189" s="23" t="str">
        <f>IF(AG189="","",IF(AG189&gt;=Panduan!$B$4,"Terserap","Perlu Evaluasi"))</f>
        <v/>
      </c>
      <c r="AI189" s="29" t="str">
        <f t="shared" ref="AI189:AJ189" si="198">IF(COUNTA(J189,O189,T189,Y189,AD189)=0,"",SUM(J189,O189,T189,Y189,AD189))</f>
        <v/>
      </c>
      <c r="AJ189" s="29" t="str">
        <f t="shared" si="198"/>
        <v/>
      </c>
      <c r="AK189" s="28" t="str">
        <f t="shared" si="15"/>
        <v/>
      </c>
      <c r="AL189" s="28" t="str">
        <f t="shared" si="16"/>
        <v/>
      </c>
      <c r="AM189" s="23" t="str">
        <f>IF(AL189="","",IF(AL189&gt;=Panduan!$B$4,"Terserap","Perlu Evaluasi"))</f>
        <v/>
      </c>
    </row>
    <row r="190" ht="15.75" customHeight="1">
      <c r="A190" s="23" t="str">
        <f t="shared" si="2"/>
        <v/>
      </c>
      <c r="B190" s="33"/>
      <c r="C190" s="23" t="str">
        <f t="shared" si="3"/>
        <v/>
      </c>
      <c r="D190" s="31"/>
      <c r="E190" s="31"/>
      <c r="F190" s="31"/>
      <c r="G190" s="31"/>
      <c r="H190" s="31"/>
      <c r="I190" s="32"/>
      <c r="J190" s="30"/>
      <c r="K190" s="30"/>
      <c r="L190" s="28" t="str">
        <f t="shared" si="4"/>
        <v/>
      </c>
      <c r="M190" s="28" t="str">
        <f t="shared" si="5"/>
        <v/>
      </c>
      <c r="N190" s="23" t="str">
        <f>IF(M190="","",IF(M190&gt;=Panduan!$B$4,"Terserap","Perlu Evaluasi"))</f>
        <v/>
      </c>
      <c r="O190" s="30"/>
      <c r="P190" s="30"/>
      <c r="Q190" s="28" t="str">
        <f t="shared" si="6"/>
        <v/>
      </c>
      <c r="R190" s="28" t="str">
        <f t="shared" si="7"/>
        <v/>
      </c>
      <c r="S190" s="23" t="str">
        <f>IF(R190="","",IF(R190&gt;=Panduan!$B$4,"Terserap","Perlu Evaluasi"))</f>
        <v/>
      </c>
      <c r="T190" s="30"/>
      <c r="U190" s="30"/>
      <c r="V190" s="28" t="str">
        <f t="shared" si="8"/>
        <v/>
      </c>
      <c r="W190" s="28" t="str">
        <f t="shared" si="9"/>
        <v/>
      </c>
      <c r="X190" s="23" t="str">
        <f>IF(W190="","",IF(W190&gt;=Panduan!$B$4,"Terserap","Perlu Evaluasi"))</f>
        <v/>
      </c>
      <c r="Y190" s="30"/>
      <c r="Z190" s="30"/>
      <c r="AA190" s="28" t="str">
        <f t="shared" si="10"/>
        <v/>
      </c>
      <c r="AB190" s="28" t="str">
        <f t="shared" si="11"/>
        <v/>
      </c>
      <c r="AC190" s="23" t="str">
        <f>IF(AB190="","",IF(AB190&gt;=Panduan!$B$4,"Terserap","Perlu Evaluasi"))</f>
        <v/>
      </c>
      <c r="AD190" s="30"/>
      <c r="AE190" s="30"/>
      <c r="AF190" s="28" t="str">
        <f t="shared" si="12"/>
        <v/>
      </c>
      <c r="AG190" s="28" t="str">
        <f t="shared" si="13"/>
        <v/>
      </c>
      <c r="AH190" s="23" t="str">
        <f>IF(AG190="","",IF(AG190&gt;=Panduan!$B$4,"Terserap","Perlu Evaluasi"))</f>
        <v/>
      </c>
      <c r="AI190" s="29" t="str">
        <f t="shared" ref="AI190:AJ190" si="199">IF(COUNTA(J190,O190,T190,Y190,AD190)=0,"",SUM(J190,O190,T190,Y190,AD190))</f>
        <v/>
      </c>
      <c r="AJ190" s="29" t="str">
        <f t="shared" si="199"/>
        <v/>
      </c>
      <c r="AK190" s="28" t="str">
        <f t="shared" si="15"/>
        <v/>
      </c>
      <c r="AL190" s="28" t="str">
        <f t="shared" si="16"/>
        <v/>
      </c>
      <c r="AM190" s="23" t="str">
        <f>IF(AL190="","",IF(AL190&gt;=Panduan!$B$4,"Terserap","Perlu Evaluasi"))</f>
        <v/>
      </c>
    </row>
    <row r="191" ht="15.75" customHeight="1">
      <c r="A191" s="23" t="str">
        <f t="shared" si="2"/>
        <v/>
      </c>
      <c r="B191" s="33"/>
      <c r="C191" s="23" t="str">
        <f t="shared" si="3"/>
        <v/>
      </c>
      <c r="D191" s="31"/>
      <c r="E191" s="31"/>
      <c r="F191" s="31"/>
      <c r="G191" s="31"/>
      <c r="H191" s="31"/>
      <c r="I191" s="32"/>
      <c r="J191" s="30"/>
      <c r="K191" s="30"/>
      <c r="L191" s="28" t="str">
        <f t="shared" si="4"/>
        <v/>
      </c>
      <c r="M191" s="28" t="str">
        <f t="shared" si="5"/>
        <v/>
      </c>
      <c r="N191" s="23" t="str">
        <f>IF(M191="","",IF(M191&gt;=Panduan!$B$4,"Terserap","Perlu Evaluasi"))</f>
        <v/>
      </c>
      <c r="O191" s="30"/>
      <c r="P191" s="30"/>
      <c r="Q191" s="28" t="str">
        <f t="shared" si="6"/>
        <v/>
      </c>
      <c r="R191" s="28" t="str">
        <f t="shared" si="7"/>
        <v/>
      </c>
      <c r="S191" s="23" t="str">
        <f>IF(R191="","",IF(R191&gt;=Panduan!$B$4,"Terserap","Perlu Evaluasi"))</f>
        <v/>
      </c>
      <c r="T191" s="30"/>
      <c r="U191" s="30"/>
      <c r="V191" s="28" t="str">
        <f t="shared" si="8"/>
        <v/>
      </c>
      <c r="W191" s="28" t="str">
        <f t="shared" si="9"/>
        <v/>
      </c>
      <c r="X191" s="23" t="str">
        <f>IF(W191="","",IF(W191&gt;=Panduan!$B$4,"Terserap","Perlu Evaluasi"))</f>
        <v/>
      </c>
      <c r="Y191" s="30"/>
      <c r="Z191" s="30"/>
      <c r="AA191" s="28" t="str">
        <f t="shared" si="10"/>
        <v/>
      </c>
      <c r="AB191" s="28" t="str">
        <f t="shared" si="11"/>
        <v/>
      </c>
      <c r="AC191" s="23" t="str">
        <f>IF(AB191="","",IF(AB191&gt;=Panduan!$B$4,"Terserap","Perlu Evaluasi"))</f>
        <v/>
      </c>
      <c r="AD191" s="30"/>
      <c r="AE191" s="30"/>
      <c r="AF191" s="28" t="str">
        <f t="shared" si="12"/>
        <v/>
      </c>
      <c r="AG191" s="28" t="str">
        <f t="shared" si="13"/>
        <v/>
      </c>
      <c r="AH191" s="23" t="str">
        <f>IF(AG191="","",IF(AG191&gt;=Panduan!$B$4,"Terserap","Perlu Evaluasi"))</f>
        <v/>
      </c>
      <c r="AI191" s="29" t="str">
        <f t="shared" ref="AI191:AJ191" si="200">IF(COUNTA(J191,O191,T191,Y191,AD191)=0,"",SUM(J191,O191,T191,Y191,AD191))</f>
        <v/>
      </c>
      <c r="AJ191" s="29" t="str">
        <f t="shared" si="200"/>
        <v/>
      </c>
      <c r="AK191" s="28" t="str">
        <f t="shared" si="15"/>
        <v/>
      </c>
      <c r="AL191" s="28" t="str">
        <f t="shared" si="16"/>
        <v/>
      </c>
      <c r="AM191" s="23" t="str">
        <f>IF(AL191="","",IF(AL191&gt;=Panduan!$B$4,"Terserap","Perlu Evaluasi"))</f>
        <v/>
      </c>
    </row>
    <row r="192" ht="15.75" customHeight="1">
      <c r="A192" s="23" t="str">
        <f t="shared" si="2"/>
        <v/>
      </c>
      <c r="B192" s="33"/>
      <c r="C192" s="23" t="str">
        <f t="shared" si="3"/>
        <v/>
      </c>
      <c r="D192" s="31"/>
      <c r="E192" s="31"/>
      <c r="F192" s="31"/>
      <c r="G192" s="31"/>
      <c r="H192" s="31"/>
      <c r="I192" s="32"/>
      <c r="J192" s="30"/>
      <c r="K192" s="30"/>
      <c r="L192" s="28" t="str">
        <f t="shared" si="4"/>
        <v/>
      </c>
      <c r="M192" s="28" t="str">
        <f t="shared" si="5"/>
        <v/>
      </c>
      <c r="N192" s="23" t="str">
        <f>IF(M192="","",IF(M192&gt;=Panduan!$B$4,"Terserap","Perlu Evaluasi"))</f>
        <v/>
      </c>
      <c r="O192" s="30"/>
      <c r="P192" s="30"/>
      <c r="Q192" s="28" t="str">
        <f t="shared" si="6"/>
        <v/>
      </c>
      <c r="R192" s="28" t="str">
        <f t="shared" si="7"/>
        <v/>
      </c>
      <c r="S192" s="23" t="str">
        <f>IF(R192="","",IF(R192&gt;=Panduan!$B$4,"Terserap","Perlu Evaluasi"))</f>
        <v/>
      </c>
      <c r="T192" s="30"/>
      <c r="U192" s="30"/>
      <c r="V192" s="28" t="str">
        <f t="shared" si="8"/>
        <v/>
      </c>
      <c r="W192" s="28" t="str">
        <f t="shared" si="9"/>
        <v/>
      </c>
      <c r="X192" s="23" t="str">
        <f>IF(W192="","",IF(W192&gt;=Panduan!$B$4,"Terserap","Perlu Evaluasi"))</f>
        <v/>
      </c>
      <c r="Y192" s="30"/>
      <c r="Z192" s="30"/>
      <c r="AA192" s="28" t="str">
        <f t="shared" si="10"/>
        <v/>
      </c>
      <c r="AB192" s="28" t="str">
        <f t="shared" si="11"/>
        <v/>
      </c>
      <c r="AC192" s="23" t="str">
        <f>IF(AB192="","",IF(AB192&gt;=Panduan!$B$4,"Terserap","Perlu Evaluasi"))</f>
        <v/>
      </c>
      <c r="AD192" s="30"/>
      <c r="AE192" s="30"/>
      <c r="AF192" s="28" t="str">
        <f t="shared" si="12"/>
        <v/>
      </c>
      <c r="AG192" s="28" t="str">
        <f t="shared" si="13"/>
        <v/>
      </c>
      <c r="AH192" s="23" t="str">
        <f>IF(AG192="","",IF(AG192&gt;=Panduan!$B$4,"Terserap","Perlu Evaluasi"))</f>
        <v/>
      </c>
      <c r="AI192" s="29" t="str">
        <f t="shared" ref="AI192:AJ192" si="201">IF(COUNTA(J192,O192,T192,Y192,AD192)=0,"",SUM(J192,O192,T192,Y192,AD192))</f>
        <v/>
      </c>
      <c r="AJ192" s="29" t="str">
        <f t="shared" si="201"/>
        <v/>
      </c>
      <c r="AK192" s="28" t="str">
        <f t="shared" si="15"/>
        <v/>
      </c>
      <c r="AL192" s="28" t="str">
        <f t="shared" si="16"/>
        <v/>
      </c>
      <c r="AM192" s="23" t="str">
        <f>IF(AL192="","",IF(AL192&gt;=Panduan!$B$4,"Terserap","Perlu Evaluasi"))</f>
        <v/>
      </c>
    </row>
    <row r="193" ht="15.75" customHeight="1">
      <c r="A193" s="23" t="str">
        <f t="shared" si="2"/>
        <v/>
      </c>
      <c r="B193" s="33"/>
      <c r="C193" s="23" t="str">
        <f t="shared" si="3"/>
        <v/>
      </c>
      <c r="D193" s="31"/>
      <c r="E193" s="31"/>
      <c r="F193" s="31"/>
      <c r="G193" s="31"/>
      <c r="H193" s="31"/>
      <c r="I193" s="32"/>
      <c r="J193" s="30"/>
      <c r="K193" s="30"/>
      <c r="L193" s="28" t="str">
        <f t="shared" si="4"/>
        <v/>
      </c>
      <c r="M193" s="28" t="str">
        <f t="shared" si="5"/>
        <v/>
      </c>
      <c r="N193" s="23" t="str">
        <f>IF(M193="","",IF(M193&gt;=Panduan!$B$4,"Terserap","Perlu Evaluasi"))</f>
        <v/>
      </c>
      <c r="O193" s="30"/>
      <c r="P193" s="30"/>
      <c r="Q193" s="28" t="str">
        <f t="shared" si="6"/>
        <v/>
      </c>
      <c r="R193" s="28" t="str">
        <f t="shared" si="7"/>
        <v/>
      </c>
      <c r="S193" s="23" t="str">
        <f>IF(R193="","",IF(R193&gt;=Panduan!$B$4,"Terserap","Perlu Evaluasi"))</f>
        <v/>
      </c>
      <c r="T193" s="30"/>
      <c r="U193" s="30"/>
      <c r="V193" s="28" t="str">
        <f t="shared" si="8"/>
        <v/>
      </c>
      <c r="W193" s="28" t="str">
        <f t="shared" si="9"/>
        <v/>
      </c>
      <c r="X193" s="23" t="str">
        <f>IF(W193="","",IF(W193&gt;=Panduan!$B$4,"Terserap","Perlu Evaluasi"))</f>
        <v/>
      </c>
      <c r="Y193" s="30"/>
      <c r="Z193" s="30"/>
      <c r="AA193" s="28" t="str">
        <f t="shared" si="10"/>
        <v/>
      </c>
      <c r="AB193" s="28" t="str">
        <f t="shared" si="11"/>
        <v/>
      </c>
      <c r="AC193" s="23" t="str">
        <f>IF(AB193="","",IF(AB193&gt;=Panduan!$B$4,"Terserap","Perlu Evaluasi"))</f>
        <v/>
      </c>
      <c r="AD193" s="30"/>
      <c r="AE193" s="30"/>
      <c r="AF193" s="28" t="str">
        <f t="shared" si="12"/>
        <v/>
      </c>
      <c r="AG193" s="28" t="str">
        <f t="shared" si="13"/>
        <v/>
      </c>
      <c r="AH193" s="23" t="str">
        <f>IF(AG193="","",IF(AG193&gt;=Panduan!$B$4,"Terserap","Perlu Evaluasi"))</f>
        <v/>
      </c>
      <c r="AI193" s="29" t="str">
        <f t="shared" ref="AI193:AJ193" si="202">IF(COUNTA(J193,O193,T193,Y193,AD193)=0,"",SUM(J193,O193,T193,Y193,AD193))</f>
        <v/>
      </c>
      <c r="AJ193" s="29" t="str">
        <f t="shared" si="202"/>
        <v/>
      </c>
      <c r="AK193" s="28" t="str">
        <f t="shared" si="15"/>
        <v/>
      </c>
      <c r="AL193" s="28" t="str">
        <f t="shared" si="16"/>
        <v/>
      </c>
      <c r="AM193" s="23" t="str">
        <f>IF(AL193="","",IF(AL193&gt;=Panduan!$B$4,"Terserap","Perlu Evaluasi"))</f>
        <v/>
      </c>
    </row>
    <row r="194" ht="15.75" customHeight="1">
      <c r="A194" s="23" t="str">
        <f t="shared" si="2"/>
        <v/>
      </c>
      <c r="B194" s="33"/>
      <c r="C194" s="23" t="str">
        <f t="shared" si="3"/>
        <v/>
      </c>
      <c r="D194" s="31"/>
      <c r="E194" s="31"/>
      <c r="F194" s="31"/>
      <c r="G194" s="31"/>
      <c r="H194" s="31"/>
      <c r="I194" s="32"/>
      <c r="J194" s="30"/>
      <c r="K194" s="30"/>
      <c r="L194" s="28" t="str">
        <f t="shared" si="4"/>
        <v/>
      </c>
      <c r="M194" s="28" t="str">
        <f t="shared" si="5"/>
        <v/>
      </c>
      <c r="N194" s="23" t="str">
        <f>IF(M194="","",IF(M194&gt;=Panduan!$B$4,"Terserap","Perlu Evaluasi"))</f>
        <v/>
      </c>
      <c r="O194" s="30"/>
      <c r="P194" s="30"/>
      <c r="Q194" s="28" t="str">
        <f t="shared" si="6"/>
        <v/>
      </c>
      <c r="R194" s="28" t="str">
        <f t="shared" si="7"/>
        <v/>
      </c>
      <c r="S194" s="23" t="str">
        <f>IF(R194="","",IF(R194&gt;=Panduan!$B$4,"Terserap","Perlu Evaluasi"))</f>
        <v/>
      </c>
      <c r="T194" s="30"/>
      <c r="U194" s="30"/>
      <c r="V194" s="28" t="str">
        <f t="shared" si="8"/>
        <v/>
      </c>
      <c r="W194" s="28" t="str">
        <f t="shared" si="9"/>
        <v/>
      </c>
      <c r="X194" s="23" t="str">
        <f>IF(W194="","",IF(W194&gt;=Panduan!$B$4,"Terserap","Perlu Evaluasi"))</f>
        <v/>
      </c>
      <c r="Y194" s="30"/>
      <c r="Z194" s="30"/>
      <c r="AA194" s="28" t="str">
        <f t="shared" si="10"/>
        <v/>
      </c>
      <c r="AB194" s="28" t="str">
        <f t="shared" si="11"/>
        <v/>
      </c>
      <c r="AC194" s="23" t="str">
        <f>IF(AB194="","",IF(AB194&gt;=Panduan!$B$4,"Terserap","Perlu Evaluasi"))</f>
        <v/>
      </c>
      <c r="AD194" s="30"/>
      <c r="AE194" s="30"/>
      <c r="AF194" s="28" t="str">
        <f t="shared" si="12"/>
        <v/>
      </c>
      <c r="AG194" s="28" t="str">
        <f t="shared" si="13"/>
        <v/>
      </c>
      <c r="AH194" s="23" t="str">
        <f>IF(AG194="","",IF(AG194&gt;=Panduan!$B$4,"Terserap","Perlu Evaluasi"))</f>
        <v/>
      </c>
      <c r="AI194" s="29" t="str">
        <f t="shared" ref="AI194:AJ194" si="203">IF(COUNTA(J194,O194,T194,Y194,AD194)=0,"",SUM(J194,O194,T194,Y194,AD194))</f>
        <v/>
      </c>
      <c r="AJ194" s="29" t="str">
        <f t="shared" si="203"/>
        <v/>
      </c>
      <c r="AK194" s="28" t="str">
        <f t="shared" si="15"/>
        <v/>
      </c>
      <c r="AL194" s="28" t="str">
        <f t="shared" si="16"/>
        <v/>
      </c>
      <c r="AM194" s="23" t="str">
        <f>IF(AL194="","",IF(AL194&gt;=Panduan!$B$4,"Terserap","Perlu Evaluasi"))</f>
        <v/>
      </c>
    </row>
    <row r="195" ht="15.75" customHeight="1">
      <c r="A195" s="23" t="str">
        <f t="shared" si="2"/>
        <v/>
      </c>
      <c r="B195" s="33"/>
      <c r="C195" s="23" t="str">
        <f t="shared" si="3"/>
        <v/>
      </c>
      <c r="D195" s="31"/>
      <c r="E195" s="31"/>
      <c r="F195" s="31"/>
      <c r="G195" s="31"/>
      <c r="H195" s="31"/>
      <c r="I195" s="32"/>
      <c r="J195" s="30"/>
      <c r="K195" s="30"/>
      <c r="L195" s="28" t="str">
        <f t="shared" si="4"/>
        <v/>
      </c>
      <c r="M195" s="28" t="str">
        <f t="shared" si="5"/>
        <v/>
      </c>
      <c r="N195" s="23" t="str">
        <f>IF(M195="","",IF(M195&gt;=Panduan!$B$4,"Terserap","Perlu Evaluasi"))</f>
        <v/>
      </c>
      <c r="O195" s="30"/>
      <c r="P195" s="30"/>
      <c r="Q195" s="28" t="str">
        <f t="shared" si="6"/>
        <v/>
      </c>
      <c r="R195" s="28" t="str">
        <f t="shared" si="7"/>
        <v/>
      </c>
      <c r="S195" s="23" t="str">
        <f>IF(R195="","",IF(R195&gt;=Panduan!$B$4,"Terserap","Perlu Evaluasi"))</f>
        <v/>
      </c>
      <c r="T195" s="30"/>
      <c r="U195" s="30"/>
      <c r="V195" s="28" t="str">
        <f t="shared" si="8"/>
        <v/>
      </c>
      <c r="W195" s="28" t="str">
        <f t="shared" si="9"/>
        <v/>
      </c>
      <c r="X195" s="23" t="str">
        <f>IF(W195="","",IF(W195&gt;=Panduan!$B$4,"Terserap","Perlu Evaluasi"))</f>
        <v/>
      </c>
      <c r="Y195" s="30"/>
      <c r="Z195" s="30"/>
      <c r="AA195" s="28" t="str">
        <f t="shared" si="10"/>
        <v/>
      </c>
      <c r="AB195" s="28" t="str">
        <f t="shared" si="11"/>
        <v/>
      </c>
      <c r="AC195" s="23" t="str">
        <f>IF(AB195="","",IF(AB195&gt;=Panduan!$B$4,"Terserap","Perlu Evaluasi"))</f>
        <v/>
      </c>
      <c r="AD195" s="30"/>
      <c r="AE195" s="30"/>
      <c r="AF195" s="28" t="str">
        <f t="shared" si="12"/>
        <v/>
      </c>
      <c r="AG195" s="28" t="str">
        <f t="shared" si="13"/>
        <v/>
      </c>
      <c r="AH195" s="23" t="str">
        <f>IF(AG195="","",IF(AG195&gt;=Panduan!$B$4,"Terserap","Perlu Evaluasi"))</f>
        <v/>
      </c>
      <c r="AI195" s="29" t="str">
        <f t="shared" ref="AI195:AJ195" si="204">IF(COUNTA(J195,O195,T195,Y195,AD195)=0,"",SUM(J195,O195,T195,Y195,AD195))</f>
        <v/>
      </c>
      <c r="AJ195" s="29" t="str">
        <f t="shared" si="204"/>
        <v/>
      </c>
      <c r="AK195" s="28" t="str">
        <f t="shared" si="15"/>
        <v/>
      </c>
      <c r="AL195" s="28" t="str">
        <f t="shared" si="16"/>
        <v/>
      </c>
      <c r="AM195" s="23" t="str">
        <f>IF(AL195="","",IF(AL195&gt;=Panduan!$B$4,"Terserap","Perlu Evaluasi"))</f>
        <v/>
      </c>
    </row>
    <row r="196" ht="15.75" customHeight="1">
      <c r="A196" s="23" t="str">
        <f t="shared" si="2"/>
        <v/>
      </c>
      <c r="B196" s="33"/>
      <c r="C196" s="23" t="str">
        <f t="shared" si="3"/>
        <v/>
      </c>
      <c r="D196" s="31"/>
      <c r="E196" s="31"/>
      <c r="F196" s="31"/>
      <c r="G196" s="31"/>
      <c r="H196" s="31"/>
      <c r="I196" s="32"/>
      <c r="J196" s="30"/>
      <c r="K196" s="30"/>
      <c r="L196" s="28" t="str">
        <f t="shared" si="4"/>
        <v/>
      </c>
      <c r="M196" s="28" t="str">
        <f t="shared" si="5"/>
        <v/>
      </c>
      <c r="N196" s="23" t="str">
        <f>IF(M196="","",IF(M196&gt;=Panduan!$B$4,"Terserap","Perlu Evaluasi"))</f>
        <v/>
      </c>
      <c r="O196" s="30"/>
      <c r="P196" s="30"/>
      <c r="Q196" s="28" t="str">
        <f t="shared" si="6"/>
        <v/>
      </c>
      <c r="R196" s="28" t="str">
        <f t="shared" si="7"/>
        <v/>
      </c>
      <c r="S196" s="23" t="str">
        <f>IF(R196="","",IF(R196&gt;=Panduan!$B$4,"Terserap","Perlu Evaluasi"))</f>
        <v/>
      </c>
      <c r="T196" s="30"/>
      <c r="U196" s="30"/>
      <c r="V196" s="28" t="str">
        <f t="shared" si="8"/>
        <v/>
      </c>
      <c r="W196" s="28" t="str">
        <f t="shared" si="9"/>
        <v/>
      </c>
      <c r="X196" s="23" t="str">
        <f>IF(W196="","",IF(W196&gt;=Panduan!$B$4,"Terserap","Perlu Evaluasi"))</f>
        <v/>
      </c>
      <c r="Y196" s="30"/>
      <c r="Z196" s="30"/>
      <c r="AA196" s="28" t="str">
        <f t="shared" si="10"/>
        <v/>
      </c>
      <c r="AB196" s="28" t="str">
        <f t="shared" si="11"/>
        <v/>
      </c>
      <c r="AC196" s="23" t="str">
        <f>IF(AB196="","",IF(AB196&gt;=Panduan!$B$4,"Terserap","Perlu Evaluasi"))</f>
        <v/>
      </c>
      <c r="AD196" s="30"/>
      <c r="AE196" s="30"/>
      <c r="AF196" s="28" t="str">
        <f t="shared" si="12"/>
        <v/>
      </c>
      <c r="AG196" s="28" t="str">
        <f t="shared" si="13"/>
        <v/>
      </c>
      <c r="AH196" s="23" t="str">
        <f>IF(AG196="","",IF(AG196&gt;=Panduan!$B$4,"Terserap","Perlu Evaluasi"))</f>
        <v/>
      </c>
      <c r="AI196" s="29" t="str">
        <f t="shared" ref="AI196:AJ196" si="205">IF(COUNTA(J196,O196,T196,Y196,AD196)=0,"",SUM(J196,O196,T196,Y196,AD196))</f>
        <v/>
      </c>
      <c r="AJ196" s="29" t="str">
        <f t="shared" si="205"/>
        <v/>
      </c>
      <c r="AK196" s="28" t="str">
        <f t="shared" si="15"/>
        <v/>
      </c>
      <c r="AL196" s="28" t="str">
        <f t="shared" si="16"/>
        <v/>
      </c>
      <c r="AM196" s="23" t="str">
        <f>IF(AL196="","",IF(AL196&gt;=Panduan!$B$4,"Terserap","Perlu Evaluasi"))</f>
        <v/>
      </c>
    </row>
    <row r="197" ht="15.75" customHeight="1">
      <c r="A197" s="23" t="str">
        <f t="shared" si="2"/>
        <v/>
      </c>
      <c r="B197" s="33"/>
      <c r="C197" s="23" t="str">
        <f t="shared" si="3"/>
        <v/>
      </c>
      <c r="D197" s="31"/>
      <c r="E197" s="31"/>
      <c r="F197" s="31"/>
      <c r="G197" s="31"/>
      <c r="H197" s="31"/>
      <c r="I197" s="32"/>
      <c r="J197" s="30"/>
      <c r="K197" s="30"/>
      <c r="L197" s="28" t="str">
        <f t="shared" si="4"/>
        <v/>
      </c>
      <c r="M197" s="28" t="str">
        <f t="shared" si="5"/>
        <v/>
      </c>
      <c r="N197" s="23" t="str">
        <f>IF(M197="","",IF(M197&gt;=Panduan!$B$4,"Terserap","Perlu Evaluasi"))</f>
        <v/>
      </c>
      <c r="O197" s="30"/>
      <c r="P197" s="30"/>
      <c r="Q197" s="28" t="str">
        <f t="shared" si="6"/>
        <v/>
      </c>
      <c r="R197" s="28" t="str">
        <f t="shared" si="7"/>
        <v/>
      </c>
      <c r="S197" s="23" t="str">
        <f>IF(R197="","",IF(R197&gt;=Panduan!$B$4,"Terserap","Perlu Evaluasi"))</f>
        <v/>
      </c>
      <c r="T197" s="30"/>
      <c r="U197" s="30"/>
      <c r="V197" s="28" t="str">
        <f t="shared" si="8"/>
        <v/>
      </c>
      <c r="W197" s="28" t="str">
        <f t="shared" si="9"/>
        <v/>
      </c>
      <c r="X197" s="23" t="str">
        <f>IF(W197="","",IF(W197&gt;=Panduan!$B$4,"Terserap","Perlu Evaluasi"))</f>
        <v/>
      </c>
      <c r="Y197" s="30"/>
      <c r="Z197" s="30"/>
      <c r="AA197" s="28" t="str">
        <f t="shared" si="10"/>
        <v/>
      </c>
      <c r="AB197" s="28" t="str">
        <f t="shared" si="11"/>
        <v/>
      </c>
      <c r="AC197" s="23" t="str">
        <f>IF(AB197="","",IF(AB197&gt;=Panduan!$B$4,"Terserap","Perlu Evaluasi"))</f>
        <v/>
      </c>
      <c r="AD197" s="30"/>
      <c r="AE197" s="30"/>
      <c r="AF197" s="28" t="str">
        <f t="shared" si="12"/>
        <v/>
      </c>
      <c r="AG197" s="28" t="str">
        <f t="shared" si="13"/>
        <v/>
      </c>
      <c r="AH197" s="23" t="str">
        <f>IF(AG197="","",IF(AG197&gt;=Panduan!$B$4,"Terserap","Perlu Evaluasi"))</f>
        <v/>
      </c>
      <c r="AI197" s="29" t="str">
        <f t="shared" ref="AI197:AJ197" si="206">IF(COUNTA(J197,O197,T197,Y197,AD197)=0,"",SUM(J197,O197,T197,Y197,AD197))</f>
        <v/>
      </c>
      <c r="AJ197" s="29" t="str">
        <f t="shared" si="206"/>
        <v/>
      </c>
      <c r="AK197" s="28" t="str">
        <f t="shared" si="15"/>
        <v/>
      </c>
      <c r="AL197" s="28" t="str">
        <f t="shared" si="16"/>
        <v/>
      </c>
      <c r="AM197" s="23" t="str">
        <f>IF(AL197="","",IF(AL197&gt;=Panduan!$B$4,"Terserap","Perlu Evaluasi"))</f>
        <v/>
      </c>
    </row>
    <row r="198" ht="15.75" customHeight="1">
      <c r="A198" s="23" t="str">
        <f t="shared" si="2"/>
        <v/>
      </c>
      <c r="B198" s="33"/>
      <c r="C198" s="23" t="str">
        <f t="shared" si="3"/>
        <v/>
      </c>
      <c r="D198" s="31"/>
      <c r="E198" s="31"/>
      <c r="F198" s="31"/>
      <c r="G198" s="31"/>
      <c r="H198" s="31"/>
      <c r="I198" s="32"/>
      <c r="J198" s="30"/>
      <c r="K198" s="30"/>
      <c r="L198" s="28" t="str">
        <f t="shared" si="4"/>
        <v/>
      </c>
      <c r="M198" s="28" t="str">
        <f t="shared" si="5"/>
        <v/>
      </c>
      <c r="N198" s="23" t="str">
        <f>IF(M198="","",IF(M198&gt;=Panduan!$B$4,"Terserap","Perlu Evaluasi"))</f>
        <v/>
      </c>
      <c r="O198" s="30"/>
      <c r="P198" s="30"/>
      <c r="Q198" s="28" t="str">
        <f t="shared" si="6"/>
        <v/>
      </c>
      <c r="R198" s="28" t="str">
        <f t="shared" si="7"/>
        <v/>
      </c>
      <c r="S198" s="23" t="str">
        <f>IF(R198="","",IF(R198&gt;=Panduan!$B$4,"Terserap","Perlu Evaluasi"))</f>
        <v/>
      </c>
      <c r="T198" s="30"/>
      <c r="U198" s="30"/>
      <c r="V198" s="28" t="str">
        <f t="shared" si="8"/>
        <v/>
      </c>
      <c r="W198" s="28" t="str">
        <f t="shared" si="9"/>
        <v/>
      </c>
      <c r="X198" s="23" t="str">
        <f>IF(W198="","",IF(W198&gt;=Panduan!$B$4,"Terserap","Perlu Evaluasi"))</f>
        <v/>
      </c>
      <c r="Y198" s="30"/>
      <c r="Z198" s="30"/>
      <c r="AA198" s="28" t="str">
        <f t="shared" si="10"/>
        <v/>
      </c>
      <c r="AB198" s="28" t="str">
        <f t="shared" si="11"/>
        <v/>
      </c>
      <c r="AC198" s="23" t="str">
        <f>IF(AB198="","",IF(AB198&gt;=Panduan!$B$4,"Terserap","Perlu Evaluasi"))</f>
        <v/>
      </c>
      <c r="AD198" s="30"/>
      <c r="AE198" s="30"/>
      <c r="AF198" s="28" t="str">
        <f t="shared" si="12"/>
        <v/>
      </c>
      <c r="AG198" s="28" t="str">
        <f t="shared" si="13"/>
        <v/>
      </c>
      <c r="AH198" s="23" t="str">
        <f>IF(AG198="","",IF(AG198&gt;=Panduan!$B$4,"Terserap","Perlu Evaluasi"))</f>
        <v/>
      </c>
      <c r="AI198" s="29" t="str">
        <f t="shared" ref="AI198:AJ198" si="207">IF(COUNTA(J198,O198,T198,Y198,AD198)=0,"",SUM(J198,O198,T198,Y198,AD198))</f>
        <v/>
      </c>
      <c r="AJ198" s="29" t="str">
        <f t="shared" si="207"/>
        <v/>
      </c>
      <c r="AK198" s="28" t="str">
        <f t="shared" si="15"/>
        <v/>
      </c>
      <c r="AL198" s="28" t="str">
        <f t="shared" si="16"/>
        <v/>
      </c>
      <c r="AM198" s="23" t="str">
        <f>IF(AL198="","",IF(AL198&gt;=Panduan!$B$4,"Terserap","Perlu Evaluasi"))</f>
        <v/>
      </c>
    </row>
    <row r="199" ht="15.75" customHeight="1">
      <c r="A199" s="23" t="str">
        <f t="shared" si="2"/>
        <v/>
      </c>
      <c r="B199" s="33"/>
      <c r="C199" s="23" t="str">
        <f t="shared" si="3"/>
        <v/>
      </c>
      <c r="D199" s="31"/>
      <c r="E199" s="31"/>
      <c r="F199" s="31"/>
      <c r="G199" s="31"/>
      <c r="H199" s="31"/>
      <c r="I199" s="32"/>
      <c r="J199" s="30"/>
      <c r="K199" s="30"/>
      <c r="L199" s="28" t="str">
        <f t="shared" si="4"/>
        <v/>
      </c>
      <c r="M199" s="28" t="str">
        <f t="shared" si="5"/>
        <v/>
      </c>
      <c r="N199" s="23" t="str">
        <f>IF(M199="","",IF(M199&gt;=Panduan!$B$4,"Terserap","Perlu Evaluasi"))</f>
        <v/>
      </c>
      <c r="O199" s="30"/>
      <c r="P199" s="30"/>
      <c r="Q199" s="28" t="str">
        <f t="shared" si="6"/>
        <v/>
      </c>
      <c r="R199" s="28" t="str">
        <f t="shared" si="7"/>
        <v/>
      </c>
      <c r="S199" s="23" t="str">
        <f>IF(R199="","",IF(R199&gt;=Panduan!$B$4,"Terserap","Perlu Evaluasi"))</f>
        <v/>
      </c>
      <c r="T199" s="30"/>
      <c r="U199" s="30"/>
      <c r="V199" s="28" t="str">
        <f t="shared" si="8"/>
        <v/>
      </c>
      <c r="W199" s="28" t="str">
        <f t="shared" si="9"/>
        <v/>
      </c>
      <c r="X199" s="23" t="str">
        <f>IF(W199="","",IF(W199&gt;=Panduan!$B$4,"Terserap","Perlu Evaluasi"))</f>
        <v/>
      </c>
      <c r="Y199" s="30"/>
      <c r="Z199" s="30"/>
      <c r="AA199" s="28" t="str">
        <f t="shared" si="10"/>
        <v/>
      </c>
      <c r="AB199" s="28" t="str">
        <f t="shared" si="11"/>
        <v/>
      </c>
      <c r="AC199" s="23" t="str">
        <f>IF(AB199="","",IF(AB199&gt;=Panduan!$B$4,"Terserap","Perlu Evaluasi"))</f>
        <v/>
      </c>
      <c r="AD199" s="30"/>
      <c r="AE199" s="30"/>
      <c r="AF199" s="28" t="str">
        <f t="shared" si="12"/>
        <v/>
      </c>
      <c r="AG199" s="28" t="str">
        <f t="shared" si="13"/>
        <v/>
      </c>
      <c r="AH199" s="23" t="str">
        <f>IF(AG199="","",IF(AG199&gt;=Panduan!$B$4,"Terserap","Perlu Evaluasi"))</f>
        <v/>
      </c>
      <c r="AI199" s="29" t="str">
        <f t="shared" ref="AI199:AJ199" si="208">IF(COUNTA(J199,O199,T199,Y199,AD199)=0,"",SUM(J199,O199,T199,Y199,AD199))</f>
        <v/>
      </c>
      <c r="AJ199" s="29" t="str">
        <f t="shared" si="208"/>
        <v/>
      </c>
      <c r="AK199" s="28" t="str">
        <f t="shared" si="15"/>
        <v/>
      </c>
      <c r="AL199" s="28" t="str">
        <f t="shared" si="16"/>
        <v/>
      </c>
      <c r="AM199" s="23" t="str">
        <f>IF(AL199="","",IF(AL199&gt;=Panduan!$B$4,"Terserap","Perlu Evaluasi"))</f>
        <v/>
      </c>
    </row>
    <row r="200" ht="15.75" customHeight="1">
      <c r="A200" s="23" t="str">
        <f t="shared" si="2"/>
        <v/>
      </c>
      <c r="B200" s="33"/>
      <c r="C200" s="23" t="str">
        <f t="shared" si="3"/>
        <v/>
      </c>
      <c r="D200" s="31"/>
      <c r="E200" s="31"/>
      <c r="F200" s="31"/>
      <c r="G200" s="31"/>
      <c r="H200" s="31"/>
      <c r="I200" s="32"/>
      <c r="J200" s="30"/>
      <c r="K200" s="30"/>
      <c r="L200" s="28" t="str">
        <f t="shared" si="4"/>
        <v/>
      </c>
      <c r="M200" s="28" t="str">
        <f t="shared" si="5"/>
        <v/>
      </c>
      <c r="N200" s="23" t="str">
        <f>IF(M200="","",IF(M200&gt;=Panduan!$B$4,"Terserap","Perlu Evaluasi"))</f>
        <v/>
      </c>
      <c r="O200" s="30"/>
      <c r="P200" s="30"/>
      <c r="Q200" s="28" t="str">
        <f t="shared" si="6"/>
        <v/>
      </c>
      <c r="R200" s="28" t="str">
        <f t="shared" si="7"/>
        <v/>
      </c>
      <c r="S200" s="23" t="str">
        <f>IF(R200="","",IF(R200&gt;=Panduan!$B$4,"Terserap","Perlu Evaluasi"))</f>
        <v/>
      </c>
      <c r="T200" s="30"/>
      <c r="U200" s="30"/>
      <c r="V200" s="28" t="str">
        <f t="shared" si="8"/>
        <v/>
      </c>
      <c r="W200" s="28" t="str">
        <f t="shared" si="9"/>
        <v/>
      </c>
      <c r="X200" s="23" t="str">
        <f>IF(W200="","",IF(W200&gt;=Panduan!$B$4,"Terserap","Perlu Evaluasi"))</f>
        <v/>
      </c>
      <c r="Y200" s="30"/>
      <c r="Z200" s="30"/>
      <c r="AA200" s="28" t="str">
        <f t="shared" si="10"/>
        <v/>
      </c>
      <c r="AB200" s="28" t="str">
        <f t="shared" si="11"/>
        <v/>
      </c>
      <c r="AC200" s="23" t="str">
        <f>IF(AB200="","",IF(AB200&gt;=Panduan!$B$4,"Terserap","Perlu Evaluasi"))</f>
        <v/>
      </c>
      <c r="AD200" s="30"/>
      <c r="AE200" s="30"/>
      <c r="AF200" s="28" t="str">
        <f t="shared" si="12"/>
        <v/>
      </c>
      <c r="AG200" s="28" t="str">
        <f t="shared" si="13"/>
        <v/>
      </c>
      <c r="AH200" s="23" t="str">
        <f>IF(AG200="","",IF(AG200&gt;=Panduan!$B$4,"Terserap","Perlu Evaluasi"))</f>
        <v/>
      </c>
      <c r="AI200" s="29" t="str">
        <f t="shared" ref="AI200:AJ200" si="209">IF(COUNTA(J200,O200,T200,Y200,AD200)=0,"",SUM(J200,O200,T200,Y200,AD200))</f>
        <v/>
      </c>
      <c r="AJ200" s="29" t="str">
        <f t="shared" si="209"/>
        <v/>
      </c>
      <c r="AK200" s="28" t="str">
        <f t="shared" si="15"/>
        <v/>
      </c>
      <c r="AL200" s="28" t="str">
        <f t="shared" si="16"/>
        <v/>
      </c>
      <c r="AM200" s="23" t="str">
        <f>IF(AL200="","",IF(AL200&gt;=Panduan!$B$4,"Terserap","Perlu Evaluasi"))</f>
        <v/>
      </c>
    </row>
    <row r="201" ht="15.75" customHeight="1">
      <c r="A201" s="23" t="str">
        <f t="shared" si="2"/>
        <v/>
      </c>
      <c r="B201" s="33"/>
      <c r="C201" s="23" t="str">
        <f t="shared" si="3"/>
        <v/>
      </c>
      <c r="D201" s="31"/>
      <c r="E201" s="31"/>
      <c r="F201" s="31"/>
      <c r="G201" s="31"/>
      <c r="H201" s="31"/>
      <c r="I201" s="32"/>
      <c r="J201" s="30"/>
      <c r="K201" s="30"/>
      <c r="L201" s="28" t="str">
        <f t="shared" si="4"/>
        <v/>
      </c>
      <c r="M201" s="28" t="str">
        <f t="shared" si="5"/>
        <v/>
      </c>
      <c r="N201" s="23" t="str">
        <f>IF(M201="","",IF(M201&gt;=Panduan!$B$4,"Terserap","Perlu Evaluasi"))</f>
        <v/>
      </c>
      <c r="O201" s="30"/>
      <c r="P201" s="30"/>
      <c r="Q201" s="28" t="str">
        <f t="shared" si="6"/>
        <v/>
      </c>
      <c r="R201" s="28" t="str">
        <f t="shared" si="7"/>
        <v/>
      </c>
      <c r="S201" s="23" t="str">
        <f>IF(R201="","",IF(R201&gt;=Panduan!$B$4,"Terserap","Perlu Evaluasi"))</f>
        <v/>
      </c>
      <c r="T201" s="30"/>
      <c r="U201" s="30"/>
      <c r="V201" s="28" t="str">
        <f t="shared" si="8"/>
        <v/>
      </c>
      <c r="W201" s="28" t="str">
        <f t="shared" si="9"/>
        <v/>
      </c>
      <c r="X201" s="23" t="str">
        <f>IF(W201="","",IF(W201&gt;=Panduan!$B$4,"Terserap","Perlu Evaluasi"))</f>
        <v/>
      </c>
      <c r="Y201" s="30"/>
      <c r="Z201" s="30"/>
      <c r="AA201" s="28" t="str">
        <f t="shared" si="10"/>
        <v/>
      </c>
      <c r="AB201" s="28" t="str">
        <f t="shared" si="11"/>
        <v/>
      </c>
      <c r="AC201" s="23" t="str">
        <f>IF(AB201="","",IF(AB201&gt;=Panduan!$B$4,"Terserap","Perlu Evaluasi"))</f>
        <v/>
      </c>
      <c r="AD201" s="30"/>
      <c r="AE201" s="30"/>
      <c r="AF201" s="28" t="str">
        <f t="shared" si="12"/>
        <v/>
      </c>
      <c r="AG201" s="28" t="str">
        <f t="shared" si="13"/>
        <v/>
      </c>
      <c r="AH201" s="23" t="str">
        <f>IF(AG201="","",IF(AG201&gt;=Panduan!$B$4,"Terserap","Perlu Evaluasi"))</f>
        <v/>
      </c>
      <c r="AI201" s="29" t="str">
        <f t="shared" ref="AI201:AJ201" si="210">IF(COUNTA(J201,O201,T201,Y201,AD201)=0,"",SUM(J201,O201,T201,Y201,AD201))</f>
        <v/>
      </c>
      <c r="AJ201" s="29" t="str">
        <f t="shared" si="210"/>
        <v/>
      </c>
      <c r="AK201" s="28" t="str">
        <f t="shared" si="15"/>
        <v/>
      </c>
      <c r="AL201" s="28" t="str">
        <f t="shared" si="16"/>
        <v/>
      </c>
      <c r="AM201" s="23" t="str">
        <f>IF(AL201="","",IF(AL201&gt;=Panduan!$B$4,"Terserap","Perlu Evaluasi"))</f>
        <v/>
      </c>
    </row>
    <row r="202" ht="15.75" customHeight="1">
      <c r="A202" s="23" t="str">
        <f t="shared" si="2"/>
        <v/>
      </c>
      <c r="B202" s="33"/>
      <c r="C202" s="23" t="str">
        <f t="shared" si="3"/>
        <v/>
      </c>
      <c r="D202" s="31"/>
      <c r="E202" s="31"/>
      <c r="F202" s="31"/>
      <c r="G202" s="31"/>
      <c r="H202" s="31"/>
      <c r="I202" s="32"/>
      <c r="J202" s="30"/>
      <c r="K202" s="30"/>
      <c r="L202" s="28" t="str">
        <f t="shared" si="4"/>
        <v/>
      </c>
      <c r="M202" s="28" t="str">
        <f t="shared" si="5"/>
        <v/>
      </c>
      <c r="N202" s="23" t="str">
        <f>IF(M202="","",IF(M202&gt;=Panduan!$B$4,"Terserap","Perlu Evaluasi"))</f>
        <v/>
      </c>
      <c r="O202" s="30"/>
      <c r="P202" s="30"/>
      <c r="Q202" s="28" t="str">
        <f t="shared" si="6"/>
        <v/>
      </c>
      <c r="R202" s="28" t="str">
        <f t="shared" si="7"/>
        <v/>
      </c>
      <c r="S202" s="23" t="str">
        <f>IF(R202="","",IF(R202&gt;=Panduan!$B$4,"Terserap","Perlu Evaluasi"))</f>
        <v/>
      </c>
      <c r="T202" s="30"/>
      <c r="U202" s="30"/>
      <c r="V202" s="28" t="str">
        <f t="shared" si="8"/>
        <v/>
      </c>
      <c r="W202" s="28" t="str">
        <f t="shared" si="9"/>
        <v/>
      </c>
      <c r="X202" s="23" t="str">
        <f>IF(W202="","",IF(W202&gt;=Panduan!$B$4,"Terserap","Perlu Evaluasi"))</f>
        <v/>
      </c>
      <c r="Y202" s="30"/>
      <c r="Z202" s="30"/>
      <c r="AA202" s="28" t="str">
        <f t="shared" si="10"/>
        <v/>
      </c>
      <c r="AB202" s="28" t="str">
        <f t="shared" si="11"/>
        <v/>
      </c>
      <c r="AC202" s="23" t="str">
        <f>IF(AB202="","",IF(AB202&gt;=Panduan!$B$4,"Terserap","Perlu Evaluasi"))</f>
        <v/>
      </c>
      <c r="AD202" s="30"/>
      <c r="AE202" s="30"/>
      <c r="AF202" s="28" t="str">
        <f t="shared" si="12"/>
        <v/>
      </c>
      <c r="AG202" s="28" t="str">
        <f t="shared" si="13"/>
        <v/>
      </c>
      <c r="AH202" s="23" t="str">
        <f>IF(AG202="","",IF(AG202&gt;=Panduan!$B$4,"Terserap","Perlu Evaluasi"))</f>
        <v/>
      </c>
      <c r="AI202" s="29" t="str">
        <f t="shared" ref="AI202:AJ202" si="211">IF(COUNTA(J202,O202,T202,Y202,AD202)=0,"",SUM(J202,O202,T202,Y202,AD202))</f>
        <v/>
      </c>
      <c r="AJ202" s="29" t="str">
        <f t="shared" si="211"/>
        <v/>
      </c>
      <c r="AK202" s="28" t="str">
        <f t="shared" si="15"/>
        <v/>
      </c>
      <c r="AL202" s="28" t="str">
        <f t="shared" si="16"/>
        <v/>
      </c>
      <c r="AM202" s="23" t="str">
        <f>IF(AL202="","",IF(AL202&gt;=Panduan!$B$4,"Terserap","Perlu Evaluasi"))</f>
        <v/>
      </c>
    </row>
    <row r="203" ht="15.75" customHeight="1">
      <c r="A203" s="23" t="str">
        <f t="shared" si="2"/>
        <v/>
      </c>
      <c r="B203" s="33"/>
      <c r="C203" s="23" t="str">
        <f t="shared" si="3"/>
        <v/>
      </c>
      <c r="D203" s="31"/>
      <c r="E203" s="31"/>
      <c r="F203" s="31"/>
      <c r="G203" s="31"/>
      <c r="H203" s="31"/>
      <c r="I203" s="32"/>
      <c r="J203" s="30"/>
      <c r="K203" s="30"/>
      <c r="L203" s="28" t="str">
        <f t="shared" si="4"/>
        <v/>
      </c>
      <c r="M203" s="28" t="str">
        <f t="shared" si="5"/>
        <v/>
      </c>
      <c r="N203" s="23" t="str">
        <f>IF(M203="","",IF(M203&gt;=Panduan!$B$4,"Terserap","Perlu Evaluasi"))</f>
        <v/>
      </c>
      <c r="O203" s="30"/>
      <c r="P203" s="30"/>
      <c r="Q203" s="28" t="str">
        <f t="shared" si="6"/>
        <v/>
      </c>
      <c r="R203" s="28" t="str">
        <f t="shared" si="7"/>
        <v/>
      </c>
      <c r="S203" s="23" t="str">
        <f>IF(R203="","",IF(R203&gt;=Panduan!$B$4,"Terserap","Perlu Evaluasi"))</f>
        <v/>
      </c>
      <c r="T203" s="30"/>
      <c r="U203" s="30"/>
      <c r="V203" s="28" t="str">
        <f t="shared" si="8"/>
        <v/>
      </c>
      <c r="W203" s="28" t="str">
        <f t="shared" si="9"/>
        <v/>
      </c>
      <c r="X203" s="23" t="str">
        <f>IF(W203="","",IF(W203&gt;=Panduan!$B$4,"Terserap","Perlu Evaluasi"))</f>
        <v/>
      </c>
      <c r="Y203" s="30"/>
      <c r="Z203" s="30"/>
      <c r="AA203" s="28" t="str">
        <f t="shared" si="10"/>
        <v/>
      </c>
      <c r="AB203" s="28" t="str">
        <f t="shared" si="11"/>
        <v/>
      </c>
      <c r="AC203" s="23" t="str">
        <f>IF(AB203="","",IF(AB203&gt;=Panduan!$B$4,"Terserap","Perlu Evaluasi"))</f>
        <v/>
      </c>
      <c r="AD203" s="30"/>
      <c r="AE203" s="30"/>
      <c r="AF203" s="28" t="str">
        <f t="shared" si="12"/>
        <v/>
      </c>
      <c r="AG203" s="28" t="str">
        <f t="shared" si="13"/>
        <v/>
      </c>
      <c r="AH203" s="23" t="str">
        <f>IF(AG203="","",IF(AG203&gt;=Panduan!$B$4,"Terserap","Perlu Evaluasi"))</f>
        <v/>
      </c>
      <c r="AI203" s="29" t="str">
        <f t="shared" ref="AI203:AJ203" si="212">IF(COUNTA(J203,O203,T203,Y203,AD203)=0,"",SUM(J203,O203,T203,Y203,AD203))</f>
        <v/>
      </c>
      <c r="AJ203" s="29" t="str">
        <f t="shared" si="212"/>
        <v/>
      </c>
      <c r="AK203" s="28" t="str">
        <f t="shared" si="15"/>
        <v/>
      </c>
      <c r="AL203" s="28" t="str">
        <f t="shared" si="16"/>
        <v/>
      </c>
      <c r="AM203" s="23" t="str">
        <f>IF(AL203="","",IF(AL203&gt;=Panduan!$B$4,"Terserap","Perlu Evaluasi"))</f>
        <v/>
      </c>
    </row>
    <row r="204" ht="15.75" customHeight="1">
      <c r="A204" s="23" t="str">
        <f t="shared" si="2"/>
        <v/>
      </c>
      <c r="B204" s="33"/>
      <c r="C204" s="23" t="str">
        <f t="shared" si="3"/>
        <v/>
      </c>
      <c r="D204" s="31"/>
      <c r="E204" s="31"/>
      <c r="F204" s="31"/>
      <c r="G204" s="31"/>
      <c r="H204" s="31"/>
      <c r="I204" s="32"/>
      <c r="J204" s="30"/>
      <c r="K204" s="30"/>
      <c r="L204" s="28" t="str">
        <f t="shared" si="4"/>
        <v/>
      </c>
      <c r="M204" s="28" t="str">
        <f t="shared" si="5"/>
        <v/>
      </c>
      <c r="N204" s="23" t="str">
        <f>IF(M204="","",IF(M204&gt;=Panduan!$B$4,"Terserap","Perlu Evaluasi"))</f>
        <v/>
      </c>
      <c r="O204" s="30"/>
      <c r="P204" s="30"/>
      <c r="Q204" s="28" t="str">
        <f t="shared" si="6"/>
        <v/>
      </c>
      <c r="R204" s="28" t="str">
        <f t="shared" si="7"/>
        <v/>
      </c>
      <c r="S204" s="23" t="str">
        <f>IF(R204="","",IF(R204&gt;=Panduan!$B$4,"Terserap","Perlu Evaluasi"))</f>
        <v/>
      </c>
      <c r="T204" s="30"/>
      <c r="U204" s="30"/>
      <c r="V204" s="28" t="str">
        <f t="shared" si="8"/>
        <v/>
      </c>
      <c r="W204" s="28" t="str">
        <f t="shared" si="9"/>
        <v/>
      </c>
      <c r="X204" s="23" t="str">
        <f>IF(W204="","",IF(W204&gt;=Panduan!$B$4,"Terserap","Perlu Evaluasi"))</f>
        <v/>
      </c>
      <c r="Y204" s="30"/>
      <c r="Z204" s="30"/>
      <c r="AA204" s="28" t="str">
        <f t="shared" si="10"/>
        <v/>
      </c>
      <c r="AB204" s="28" t="str">
        <f t="shared" si="11"/>
        <v/>
      </c>
      <c r="AC204" s="23" t="str">
        <f>IF(AB204="","",IF(AB204&gt;=Panduan!$B$4,"Terserap","Perlu Evaluasi"))</f>
        <v/>
      </c>
      <c r="AD204" s="30"/>
      <c r="AE204" s="30"/>
      <c r="AF204" s="28" t="str">
        <f t="shared" si="12"/>
        <v/>
      </c>
      <c r="AG204" s="28" t="str">
        <f t="shared" si="13"/>
        <v/>
      </c>
      <c r="AH204" s="23" t="str">
        <f>IF(AG204="","",IF(AG204&gt;=Panduan!$B$4,"Terserap","Perlu Evaluasi"))</f>
        <v/>
      </c>
      <c r="AI204" s="29" t="str">
        <f t="shared" ref="AI204:AJ204" si="213">IF(COUNTA(J204,O204,T204,Y204,AD204)=0,"",SUM(J204,O204,T204,Y204,AD204))</f>
        <v/>
      </c>
      <c r="AJ204" s="29" t="str">
        <f t="shared" si="213"/>
        <v/>
      </c>
      <c r="AK204" s="28" t="str">
        <f t="shared" si="15"/>
        <v/>
      </c>
      <c r="AL204" s="28" t="str">
        <f t="shared" si="16"/>
        <v/>
      </c>
      <c r="AM204" s="23" t="str">
        <f>IF(AL204="","",IF(AL204&gt;=Panduan!$B$4,"Terserap","Perlu Evaluasi"))</f>
        <v/>
      </c>
    </row>
    <row r="205" ht="15.75" customHeight="1">
      <c r="A205" s="23" t="str">
        <f t="shared" si="2"/>
        <v/>
      </c>
      <c r="B205" s="33"/>
      <c r="C205" s="23" t="str">
        <f t="shared" si="3"/>
        <v/>
      </c>
      <c r="D205" s="31"/>
      <c r="E205" s="31"/>
      <c r="F205" s="31"/>
      <c r="G205" s="31"/>
      <c r="H205" s="31"/>
      <c r="I205" s="32"/>
      <c r="J205" s="30"/>
      <c r="K205" s="30"/>
      <c r="L205" s="28" t="str">
        <f t="shared" si="4"/>
        <v/>
      </c>
      <c r="M205" s="28" t="str">
        <f t="shared" si="5"/>
        <v/>
      </c>
      <c r="N205" s="23" t="str">
        <f>IF(M205="","",IF(M205&gt;=Panduan!$B$4,"Terserap","Perlu Evaluasi"))</f>
        <v/>
      </c>
      <c r="O205" s="30"/>
      <c r="P205" s="30"/>
      <c r="Q205" s="28" t="str">
        <f t="shared" si="6"/>
        <v/>
      </c>
      <c r="R205" s="28" t="str">
        <f t="shared" si="7"/>
        <v/>
      </c>
      <c r="S205" s="23" t="str">
        <f>IF(R205="","",IF(R205&gt;=Panduan!$B$4,"Terserap","Perlu Evaluasi"))</f>
        <v/>
      </c>
      <c r="T205" s="30"/>
      <c r="U205" s="30"/>
      <c r="V205" s="28" t="str">
        <f t="shared" si="8"/>
        <v/>
      </c>
      <c r="W205" s="28" t="str">
        <f t="shared" si="9"/>
        <v/>
      </c>
      <c r="X205" s="23" t="str">
        <f>IF(W205="","",IF(W205&gt;=Panduan!$B$4,"Terserap","Perlu Evaluasi"))</f>
        <v/>
      </c>
      <c r="Y205" s="30"/>
      <c r="Z205" s="30"/>
      <c r="AA205" s="28" t="str">
        <f t="shared" si="10"/>
        <v/>
      </c>
      <c r="AB205" s="28" t="str">
        <f t="shared" si="11"/>
        <v/>
      </c>
      <c r="AC205" s="23" t="str">
        <f>IF(AB205="","",IF(AB205&gt;=Panduan!$B$4,"Terserap","Perlu Evaluasi"))</f>
        <v/>
      </c>
      <c r="AD205" s="30"/>
      <c r="AE205" s="30"/>
      <c r="AF205" s="28" t="str">
        <f t="shared" si="12"/>
        <v/>
      </c>
      <c r="AG205" s="28" t="str">
        <f t="shared" si="13"/>
        <v/>
      </c>
      <c r="AH205" s="23" t="str">
        <f>IF(AG205="","",IF(AG205&gt;=Panduan!$B$4,"Terserap","Perlu Evaluasi"))</f>
        <v/>
      </c>
      <c r="AI205" s="29" t="str">
        <f t="shared" ref="AI205:AJ205" si="214">IF(COUNTA(J205,O205,T205,Y205,AD205)=0,"",SUM(J205,O205,T205,Y205,AD205))</f>
        <v/>
      </c>
      <c r="AJ205" s="29" t="str">
        <f t="shared" si="214"/>
        <v/>
      </c>
      <c r="AK205" s="28" t="str">
        <f t="shared" si="15"/>
        <v/>
      </c>
      <c r="AL205" s="28" t="str">
        <f t="shared" si="16"/>
        <v/>
      </c>
      <c r="AM205" s="23" t="str">
        <f>IF(AL205="","",IF(AL205&gt;=Panduan!$B$4,"Terserap","Perlu Evaluasi"))</f>
        <v/>
      </c>
    </row>
    <row r="206" ht="15.75" customHeight="1">
      <c r="A206" s="23" t="str">
        <f t="shared" si="2"/>
        <v/>
      </c>
      <c r="B206" s="33"/>
      <c r="C206" s="23" t="str">
        <f t="shared" si="3"/>
        <v/>
      </c>
      <c r="D206" s="31"/>
      <c r="E206" s="31"/>
      <c r="F206" s="31"/>
      <c r="G206" s="31"/>
      <c r="H206" s="31"/>
      <c r="I206" s="32"/>
      <c r="J206" s="30"/>
      <c r="K206" s="30"/>
      <c r="L206" s="28" t="str">
        <f t="shared" si="4"/>
        <v/>
      </c>
      <c r="M206" s="28" t="str">
        <f t="shared" si="5"/>
        <v/>
      </c>
      <c r="N206" s="23" t="str">
        <f>IF(M206="","",IF(M206&gt;=Panduan!$B$4,"Terserap","Perlu Evaluasi"))</f>
        <v/>
      </c>
      <c r="O206" s="30"/>
      <c r="P206" s="30"/>
      <c r="Q206" s="28" t="str">
        <f t="shared" si="6"/>
        <v/>
      </c>
      <c r="R206" s="28" t="str">
        <f t="shared" si="7"/>
        <v/>
      </c>
      <c r="S206" s="23" t="str">
        <f>IF(R206="","",IF(R206&gt;=Panduan!$B$4,"Terserap","Perlu Evaluasi"))</f>
        <v/>
      </c>
      <c r="T206" s="30"/>
      <c r="U206" s="30"/>
      <c r="V206" s="28" t="str">
        <f t="shared" si="8"/>
        <v/>
      </c>
      <c r="W206" s="28" t="str">
        <f t="shared" si="9"/>
        <v/>
      </c>
      <c r="X206" s="23" t="str">
        <f>IF(W206="","",IF(W206&gt;=Panduan!$B$4,"Terserap","Perlu Evaluasi"))</f>
        <v/>
      </c>
      <c r="Y206" s="30"/>
      <c r="Z206" s="30"/>
      <c r="AA206" s="28" t="str">
        <f t="shared" si="10"/>
        <v/>
      </c>
      <c r="AB206" s="28" t="str">
        <f t="shared" si="11"/>
        <v/>
      </c>
      <c r="AC206" s="23" t="str">
        <f>IF(AB206="","",IF(AB206&gt;=Panduan!$B$4,"Terserap","Perlu Evaluasi"))</f>
        <v/>
      </c>
      <c r="AD206" s="30"/>
      <c r="AE206" s="30"/>
      <c r="AF206" s="28" t="str">
        <f t="shared" si="12"/>
        <v/>
      </c>
      <c r="AG206" s="28" t="str">
        <f t="shared" si="13"/>
        <v/>
      </c>
      <c r="AH206" s="23" t="str">
        <f>IF(AG206="","",IF(AG206&gt;=Panduan!$B$4,"Terserap","Perlu Evaluasi"))</f>
        <v/>
      </c>
      <c r="AI206" s="29" t="str">
        <f t="shared" ref="AI206:AJ206" si="215">IF(COUNTA(J206,O206,T206,Y206,AD206)=0,"",SUM(J206,O206,T206,Y206,AD206))</f>
        <v/>
      </c>
      <c r="AJ206" s="29" t="str">
        <f t="shared" si="215"/>
        <v/>
      </c>
      <c r="AK206" s="28" t="str">
        <f t="shared" si="15"/>
        <v/>
      </c>
      <c r="AL206" s="28" t="str">
        <f t="shared" si="16"/>
        <v/>
      </c>
      <c r="AM206" s="23" t="str">
        <f>IF(AL206="","",IF(AL206&gt;=Panduan!$B$4,"Terserap","Perlu Evaluasi"))</f>
        <v/>
      </c>
    </row>
    <row r="207" ht="15.75" customHeight="1">
      <c r="A207" s="23" t="str">
        <f t="shared" si="2"/>
        <v/>
      </c>
      <c r="B207" s="33"/>
      <c r="C207" s="23" t="str">
        <f t="shared" si="3"/>
        <v/>
      </c>
      <c r="D207" s="31"/>
      <c r="E207" s="31"/>
      <c r="F207" s="31"/>
      <c r="G207" s="31"/>
      <c r="H207" s="31"/>
      <c r="I207" s="32"/>
      <c r="J207" s="30"/>
      <c r="K207" s="30"/>
      <c r="L207" s="28" t="str">
        <f t="shared" si="4"/>
        <v/>
      </c>
      <c r="M207" s="28" t="str">
        <f t="shared" si="5"/>
        <v/>
      </c>
      <c r="N207" s="23" t="str">
        <f>IF(M207="","",IF(M207&gt;=Panduan!$B$4,"Terserap","Perlu Evaluasi"))</f>
        <v/>
      </c>
      <c r="O207" s="30"/>
      <c r="P207" s="30"/>
      <c r="Q207" s="28" t="str">
        <f t="shared" si="6"/>
        <v/>
      </c>
      <c r="R207" s="28" t="str">
        <f t="shared" si="7"/>
        <v/>
      </c>
      <c r="S207" s="23" t="str">
        <f>IF(R207="","",IF(R207&gt;=Panduan!$B$4,"Terserap","Perlu Evaluasi"))</f>
        <v/>
      </c>
      <c r="T207" s="30"/>
      <c r="U207" s="30"/>
      <c r="V207" s="28" t="str">
        <f t="shared" si="8"/>
        <v/>
      </c>
      <c r="W207" s="28" t="str">
        <f t="shared" si="9"/>
        <v/>
      </c>
      <c r="X207" s="23" t="str">
        <f>IF(W207="","",IF(W207&gt;=Panduan!$B$4,"Terserap","Perlu Evaluasi"))</f>
        <v/>
      </c>
      <c r="Y207" s="30"/>
      <c r="Z207" s="30"/>
      <c r="AA207" s="28" t="str">
        <f t="shared" si="10"/>
        <v/>
      </c>
      <c r="AB207" s="28" t="str">
        <f t="shared" si="11"/>
        <v/>
      </c>
      <c r="AC207" s="23" t="str">
        <f>IF(AB207="","",IF(AB207&gt;=Panduan!$B$4,"Terserap","Perlu Evaluasi"))</f>
        <v/>
      </c>
      <c r="AD207" s="30"/>
      <c r="AE207" s="30"/>
      <c r="AF207" s="28" t="str">
        <f t="shared" si="12"/>
        <v/>
      </c>
      <c r="AG207" s="28" t="str">
        <f t="shared" si="13"/>
        <v/>
      </c>
      <c r="AH207" s="23" t="str">
        <f>IF(AG207="","",IF(AG207&gt;=Panduan!$B$4,"Terserap","Perlu Evaluasi"))</f>
        <v/>
      </c>
      <c r="AI207" s="29" t="str">
        <f t="shared" ref="AI207:AJ207" si="216">IF(COUNTA(J207,O207,T207,Y207,AD207)=0,"",SUM(J207,O207,T207,Y207,AD207))</f>
        <v/>
      </c>
      <c r="AJ207" s="29" t="str">
        <f t="shared" si="216"/>
        <v/>
      </c>
      <c r="AK207" s="28" t="str">
        <f t="shared" si="15"/>
        <v/>
      </c>
      <c r="AL207" s="28" t="str">
        <f t="shared" si="16"/>
        <v/>
      </c>
      <c r="AM207" s="23" t="str">
        <f>IF(AL207="","",IF(AL207&gt;=Panduan!$B$4,"Terserap","Perlu Evaluasi"))</f>
        <v/>
      </c>
    </row>
    <row r="208" ht="15.75" customHeight="1">
      <c r="A208" s="23" t="str">
        <f t="shared" si="2"/>
        <v/>
      </c>
      <c r="B208" s="33"/>
      <c r="C208" s="23" t="str">
        <f t="shared" si="3"/>
        <v/>
      </c>
      <c r="D208" s="31"/>
      <c r="E208" s="31"/>
      <c r="F208" s="31"/>
      <c r="G208" s="31"/>
      <c r="H208" s="31"/>
      <c r="I208" s="32"/>
      <c r="J208" s="30"/>
      <c r="K208" s="30"/>
      <c r="L208" s="28" t="str">
        <f t="shared" si="4"/>
        <v/>
      </c>
      <c r="M208" s="28" t="str">
        <f t="shared" si="5"/>
        <v/>
      </c>
      <c r="N208" s="23" t="str">
        <f>IF(M208="","",IF(M208&gt;=Panduan!$B$4,"Terserap","Perlu Evaluasi"))</f>
        <v/>
      </c>
      <c r="O208" s="30"/>
      <c r="P208" s="30"/>
      <c r="Q208" s="28" t="str">
        <f t="shared" si="6"/>
        <v/>
      </c>
      <c r="R208" s="28" t="str">
        <f t="shared" si="7"/>
        <v/>
      </c>
      <c r="S208" s="23" t="str">
        <f>IF(R208="","",IF(R208&gt;=Panduan!$B$4,"Terserap","Perlu Evaluasi"))</f>
        <v/>
      </c>
      <c r="T208" s="30"/>
      <c r="U208" s="30"/>
      <c r="V208" s="28" t="str">
        <f t="shared" si="8"/>
        <v/>
      </c>
      <c r="W208" s="28" t="str">
        <f t="shared" si="9"/>
        <v/>
      </c>
      <c r="X208" s="23" t="str">
        <f>IF(W208="","",IF(W208&gt;=Panduan!$B$4,"Terserap","Perlu Evaluasi"))</f>
        <v/>
      </c>
      <c r="Y208" s="30"/>
      <c r="Z208" s="30"/>
      <c r="AA208" s="28" t="str">
        <f t="shared" si="10"/>
        <v/>
      </c>
      <c r="AB208" s="28" t="str">
        <f t="shared" si="11"/>
        <v/>
      </c>
      <c r="AC208" s="23" t="str">
        <f>IF(AB208="","",IF(AB208&gt;=Panduan!$B$4,"Terserap","Perlu Evaluasi"))</f>
        <v/>
      </c>
      <c r="AD208" s="30"/>
      <c r="AE208" s="30"/>
      <c r="AF208" s="28" t="str">
        <f t="shared" si="12"/>
        <v/>
      </c>
      <c r="AG208" s="28" t="str">
        <f t="shared" si="13"/>
        <v/>
      </c>
      <c r="AH208" s="23" t="str">
        <f>IF(AG208="","",IF(AG208&gt;=Panduan!$B$4,"Terserap","Perlu Evaluasi"))</f>
        <v/>
      </c>
      <c r="AI208" s="29" t="str">
        <f t="shared" ref="AI208:AJ208" si="217">IF(COUNTA(J208,O208,T208,Y208,AD208)=0,"",SUM(J208,O208,T208,Y208,AD208))</f>
        <v/>
      </c>
      <c r="AJ208" s="29" t="str">
        <f t="shared" si="217"/>
        <v/>
      </c>
      <c r="AK208" s="28" t="str">
        <f t="shared" si="15"/>
        <v/>
      </c>
      <c r="AL208" s="28" t="str">
        <f t="shared" si="16"/>
        <v/>
      </c>
      <c r="AM208" s="23" t="str">
        <f>IF(AL208="","",IF(AL208&gt;=Panduan!$B$4,"Terserap","Perlu Evaluasi"))</f>
        <v/>
      </c>
    </row>
    <row r="209" ht="15.75" customHeight="1">
      <c r="A209" s="23" t="str">
        <f t="shared" si="2"/>
        <v/>
      </c>
      <c r="B209" s="33"/>
      <c r="C209" s="23" t="str">
        <f t="shared" si="3"/>
        <v/>
      </c>
      <c r="D209" s="31"/>
      <c r="E209" s="31"/>
      <c r="F209" s="31"/>
      <c r="G209" s="31"/>
      <c r="H209" s="31"/>
      <c r="I209" s="32"/>
      <c r="J209" s="30"/>
      <c r="K209" s="30"/>
      <c r="L209" s="28" t="str">
        <f t="shared" si="4"/>
        <v/>
      </c>
      <c r="M209" s="28" t="str">
        <f t="shared" si="5"/>
        <v/>
      </c>
      <c r="N209" s="23" t="str">
        <f>IF(M209="","",IF(M209&gt;=Panduan!$B$4,"Terserap","Perlu Evaluasi"))</f>
        <v/>
      </c>
      <c r="O209" s="30"/>
      <c r="P209" s="30"/>
      <c r="Q209" s="28" t="str">
        <f t="shared" si="6"/>
        <v/>
      </c>
      <c r="R209" s="28" t="str">
        <f t="shared" si="7"/>
        <v/>
      </c>
      <c r="S209" s="23" t="str">
        <f>IF(R209="","",IF(R209&gt;=Panduan!$B$4,"Terserap","Perlu Evaluasi"))</f>
        <v/>
      </c>
      <c r="T209" s="30"/>
      <c r="U209" s="30"/>
      <c r="V209" s="28" t="str">
        <f t="shared" si="8"/>
        <v/>
      </c>
      <c r="W209" s="28" t="str">
        <f t="shared" si="9"/>
        <v/>
      </c>
      <c r="X209" s="23" t="str">
        <f>IF(W209="","",IF(W209&gt;=Panduan!$B$4,"Terserap","Perlu Evaluasi"))</f>
        <v/>
      </c>
      <c r="Y209" s="30"/>
      <c r="Z209" s="30"/>
      <c r="AA209" s="28" t="str">
        <f t="shared" si="10"/>
        <v/>
      </c>
      <c r="AB209" s="28" t="str">
        <f t="shared" si="11"/>
        <v/>
      </c>
      <c r="AC209" s="23" t="str">
        <f>IF(AB209="","",IF(AB209&gt;=Panduan!$B$4,"Terserap","Perlu Evaluasi"))</f>
        <v/>
      </c>
      <c r="AD209" s="30"/>
      <c r="AE209" s="30"/>
      <c r="AF209" s="28" t="str">
        <f t="shared" si="12"/>
        <v/>
      </c>
      <c r="AG209" s="28" t="str">
        <f t="shared" si="13"/>
        <v/>
      </c>
      <c r="AH209" s="23" t="str">
        <f>IF(AG209="","",IF(AG209&gt;=Panduan!$B$4,"Terserap","Perlu Evaluasi"))</f>
        <v/>
      </c>
      <c r="AI209" s="29" t="str">
        <f t="shared" ref="AI209:AJ209" si="218">IF(COUNTA(J209,O209,T209,Y209,AD209)=0,"",SUM(J209,O209,T209,Y209,AD209))</f>
        <v/>
      </c>
      <c r="AJ209" s="29" t="str">
        <f t="shared" si="218"/>
        <v/>
      </c>
      <c r="AK209" s="28" t="str">
        <f t="shared" si="15"/>
        <v/>
      </c>
      <c r="AL209" s="28" t="str">
        <f t="shared" si="16"/>
        <v/>
      </c>
      <c r="AM209" s="23" t="str">
        <f>IF(AL209="","",IF(AL209&gt;=Panduan!$B$4,"Terserap","Perlu Evaluasi"))</f>
        <v/>
      </c>
    </row>
    <row r="210" ht="15.75" customHeight="1">
      <c r="A210" s="23" t="str">
        <f t="shared" si="2"/>
        <v/>
      </c>
      <c r="B210" s="33"/>
      <c r="C210" s="23" t="str">
        <f t="shared" si="3"/>
        <v/>
      </c>
      <c r="D210" s="31"/>
      <c r="E210" s="31"/>
      <c r="F210" s="31"/>
      <c r="G210" s="31"/>
      <c r="H210" s="31"/>
      <c r="I210" s="32"/>
      <c r="J210" s="30"/>
      <c r="K210" s="30"/>
      <c r="L210" s="28" t="str">
        <f t="shared" si="4"/>
        <v/>
      </c>
      <c r="M210" s="28" t="str">
        <f t="shared" si="5"/>
        <v/>
      </c>
      <c r="N210" s="23" t="str">
        <f>IF(M210="","",IF(M210&gt;=Panduan!$B$4,"Terserap","Perlu Evaluasi"))</f>
        <v/>
      </c>
      <c r="O210" s="30"/>
      <c r="P210" s="30"/>
      <c r="Q210" s="28" t="str">
        <f t="shared" si="6"/>
        <v/>
      </c>
      <c r="R210" s="28" t="str">
        <f t="shared" si="7"/>
        <v/>
      </c>
      <c r="S210" s="23" t="str">
        <f>IF(R210="","",IF(R210&gt;=Panduan!$B$4,"Terserap","Perlu Evaluasi"))</f>
        <v/>
      </c>
      <c r="T210" s="30"/>
      <c r="U210" s="30"/>
      <c r="V210" s="28" t="str">
        <f t="shared" si="8"/>
        <v/>
      </c>
      <c r="W210" s="28" t="str">
        <f t="shared" si="9"/>
        <v/>
      </c>
      <c r="X210" s="23" t="str">
        <f>IF(W210="","",IF(W210&gt;=Panduan!$B$4,"Terserap","Perlu Evaluasi"))</f>
        <v/>
      </c>
      <c r="Y210" s="30"/>
      <c r="Z210" s="30"/>
      <c r="AA210" s="28" t="str">
        <f t="shared" si="10"/>
        <v/>
      </c>
      <c r="AB210" s="28" t="str">
        <f t="shared" si="11"/>
        <v/>
      </c>
      <c r="AC210" s="23" t="str">
        <f>IF(AB210="","",IF(AB210&gt;=Panduan!$B$4,"Terserap","Perlu Evaluasi"))</f>
        <v/>
      </c>
      <c r="AD210" s="30"/>
      <c r="AE210" s="30"/>
      <c r="AF210" s="28" t="str">
        <f t="shared" si="12"/>
        <v/>
      </c>
      <c r="AG210" s="28" t="str">
        <f t="shared" si="13"/>
        <v/>
      </c>
      <c r="AH210" s="23" t="str">
        <f>IF(AG210="","",IF(AG210&gt;=Panduan!$B$4,"Terserap","Perlu Evaluasi"))</f>
        <v/>
      </c>
      <c r="AI210" s="29" t="str">
        <f t="shared" ref="AI210:AJ210" si="219">IF(COUNTA(J210,O210,T210,Y210,AD210)=0,"",SUM(J210,O210,T210,Y210,AD210))</f>
        <v/>
      </c>
      <c r="AJ210" s="29" t="str">
        <f t="shared" si="219"/>
        <v/>
      </c>
      <c r="AK210" s="28" t="str">
        <f t="shared" si="15"/>
        <v/>
      </c>
      <c r="AL210" s="28" t="str">
        <f t="shared" si="16"/>
        <v/>
      </c>
      <c r="AM210" s="23" t="str">
        <f>IF(AL210="","",IF(AL210&gt;=Panduan!$B$4,"Terserap","Perlu Evaluasi"))</f>
        <v/>
      </c>
    </row>
    <row r="211" ht="15.75" customHeight="1">
      <c r="A211" s="23" t="str">
        <f t="shared" si="2"/>
        <v/>
      </c>
      <c r="B211" s="33"/>
      <c r="C211" s="23" t="str">
        <f t="shared" si="3"/>
        <v/>
      </c>
      <c r="D211" s="31"/>
      <c r="E211" s="31"/>
      <c r="F211" s="31"/>
      <c r="G211" s="31"/>
      <c r="H211" s="31"/>
      <c r="I211" s="32"/>
      <c r="J211" s="30"/>
      <c r="K211" s="30"/>
      <c r="L211" s="28" t="str">
        <f t="shared" si="4"/>
        <v/>
      </c>
      <c r="M211" s="28" t="str">
        <f t="shared" si="5"/>
        <v/>
      </c>
      <c r="N211" s="23" t="str">
        <f>IF(M211="","",IF(M211&gt;=Panduan!$B$4,"Terserap","Perlu Evaluasi"))</f>
        <v/>
      </c>
      <c r="O211" s="30"/>
      <c r="P211" s="30"/>
      <c r="Q211" s="28" t="str">
        <f t="shared" si="6"/>
        <v/>
      </c>
      <c r="R211" s="28" t="str">
        <f t="shared" si="7"/>
        <v/>
      </c>
      <c r="S211" s="23" t="str">
        <f>IF(R211="","",IF(R211&gt;=Panduan!$B$4,"Terserap","Perlu Evaluasi"))</f>
        <v/>
      </c>
      <c r="T211" s="30"/>
      <c r="U211" s="30"/>
      <c r="V211" s="28" t="str">
        <f t="shared" si="8"/>
        <v/>
      </c>
      <c r="W211" s="28" t="str">
        <f t="shared" si="9"/>
        <v/>
      </c>
      <c r="X211" s="23" t="str">
        <f>IF(W211="","",IF(W211&gt;=Panduan!$B$4,"Terserap","Perlu Evaluasi"))</f>
        <v/>
      </c>
      <c r="Y211" s="30"/>
      <c r="Z211" s="30"/>
      <c r="AA211" s="28" t="str">
        <f t="shared" si="10"/>
        <v/>
      </c>
      <c r="AB211" s="28" t="str">
        <f t="shared" si="11"/>
        <v/>
      </c>
      <c r="AC211" s="23" t="str">
        <f>IF(AB211="","",IF(AB211&gt;=Panduan!$B$4,"Terserap","Perlu Evaluasi"))</f>
        <v/>
      </c>
      <c r="AD211" s="30"/>
      <c r="AE211" s="30"/>
      <c r="AF211" s="28" t="str">
        <f t="shared" si="12"/>
        <v/>
      </c>
      <c r="AG211" s="28" t="str">
        <f t="shared" si="13"/>
        <v/>
      </c>
      <c r="AH211" s="23" t="str">
        <f>IF(AG211="","",IF(AG211&gt;=Panduan!$B$4,"Terserap","Perlu Evaluasi"))</f>
        <v/>
      </c>
      <c r="AI211" s="29" t="str">
        <f t="shared" ref="AI211:AJ211" si="220">IF(COUNTA(J211,O211,T211,Y211,AD211)=0,"",SUM(J211,O211,T211,Y211,AD211))</f>
        <v/>
      </c>
      <c r="AJ211" s="29" t="str">
        <f t="shared" si="220"/>
        <v/>
      </c>
      <c r="AK211" s="28" t="str">
        <f t="shared" si="15"/>
        <v/>
      </c>
      <c r="AL211" s="28" t="str">
        <f t="shared" si="16"/>
        <v/>
      </c>
      <c r="AM211" s="23" t="str">
        <f>IF(AL211="","",IF(AL211&gt;=Panduan!$B$4,"Terserap","Perlu Evaluasi"))</f>
        <v/>
      </c>
    </row>
    <row r="212" ht="15.75" customHeight="1">
      <c r="A212" s="23" t="str">
        <f t="shared" si="2"/>
        <v/>
      </c>
      <c r="B212" s="33"/>
      <c r="C212" s="23" t="str">
        <f t="shared" si="3"/>
        <v/>
      </c>
      <c r="D212" s="31"/>
      <c r="E212" s="31"/>
      <c r="F212" s="31"/>
      <c r="G212" s="31"/>
      <c r="H212" s="31"/>
      <c r="I212" s="32"/>
      <c r="J212" s="30"/>
      <c r="K212" s="30"/>
      <c r="L212" s="28" t="str">
        <f t="shared" si="4"/>
        <v/>
      </c>
      <c r="M212" s="28" t="str">
        <f t="shared" si="5"/>
        <v/>
      </c>
      <c r="N212" s="23" t="str">
        <f>IF(M212="","",IF(M212&gt;=Panduan!$B$4,"Terserap","Perlu Evaluasi"))</f>
        <v/>
      </c>
      <c r="O212" s="30"/>
      <c r="P212" s="30"/>
      <c r="Q212" s="28" t="str">
        <f t="shared" si="6"/>
        <v/>
      </c>
      <c r="R212" s="28" t="str">
        <f t="shared" si="7"/>
        <v/>
      </c>
      <c r="S212" s="23" t="str">
        <f>IF(R212="","",IF(R212&gt;=Panduan!$B$4,"Terserap","Perlu Evaluasi"))</f>
        <v/>
      </c>
      <c r="T212" s="30"/>
      <c r="U212" s="30"/>
      <c r="V212" s="28" t="str">
        <f t="shared" si="8"/>
        <v/>
      </c>
      <c r="W212" s="28" t="str">
        <f t="shared" si="9"/>
        <v/>
      </c>
      <c r="X212" s="23" t="str">
        <f>IF(W212="","",IF(W212&gt;=Panduan!$B$4,"Terserap","Perlu Evaluasi"))</f>
        <v/>
      </c>
      <c r="Y212" s="30"/>
      <c r="Z212" s="30"/>
      <c r="AA212" s="28" t="str">
        <f t="shared" si="10"/>
        <v/>
      </c>
      <c r="AB212" s="28" t="str">
        <f t="shared" si="11"/>
        <v/>
      </c>
      <c r="AC212" s="23" t="str">
        <f>IF(AB212="","",IF(AB212&gt;=Panduan!$B$4,"Terserap","Perlu Evaluasi"))</f>
        <v/>
      </c>
      <c r="AD212" s="30"/>
      <c r="AE212" s="30"/>
      <c r="AF212" s="28" t="str">
        <f t="shared" si="12"/>
        <v/>
      </c>
      <c r="AG212" s="28" t="str">
        <f t="shared" si="13"/>
        <v/>
      </c>
      <c r="AH212" s="23" t="str">
        <f>IF(AG212="","",IF(AG212&gt;=Panduan!$B$4,"Terserap","Perlu Evaluasi"))</f>
        <v/>
      </c>
      <c r="AI212" s="29" t="str">
        <f t="shared" ref="AI212:AJ212" si="221">IF(COUNTA(J212,O212,T212,Y212,AD212)=0,"",SUM(J212,O212,T212,Y212,AD212))</f>
        <v/>
      </c>
      <c r="AJ212" s="29" t="str">
        <f t="shared" si="221"/>
        <v/>
      </c>
      <c r="AK212" s="28" t="str">
        <f t="shared" si="15"/>
        <v/>
      </c>
      <c r="AL212" s="28" t="str">
        <f t="shared" si="16"/>
        <v/>
      </c>
      <c r="AM212" s="23" t="str">
        <f>IF(AL212="","",IF(AL212&gt;=Panduan!$B$4,"Terserap","Perlu Evaluasi"))</f>
        <v/>
      </c>
    </row>
    <row r="213" ht="15.75" customHeight="1">
      <c r="A213" s="23" t="str">
        <f t="shared" si="2"/>
        <v/>
      </c>
      <c r="B213" s="33"/>
      <c r="C213" s="23" t="str">
        <f t="shared" si="3"/>
        <v/>
      </c>
      <c r="D213" s="31"/>
      <c r="E213" s="31"/>
      <c r="F213" s="31"/>
      <c r="G213" s="31"/>
      <c r="H213" s="31"/>
      <c r="I213" s="32"/>
      <c r="J213" s="30"/>
      <c r="K213" s="30"/>
      <c r="L213" s="28" t="str">
        <f t="shared" si="4"/>
        <v/>
      </c>
      <c r="M213" s="28" t="str">
        <f t="shared" si="5"/>
        <v/>
      </c>
      <c r="N213" s="23" t="str">
        <f>IF(M213="","",IF(M213&gt;=Panduan!$B$4,"Terserap","Perlu Evaluasi"))</f>
        <v/>
      </c>
      <c r="O213" s="30"/>
      <c r="P213" s="30"/>
      <c r="Q213" s="28" t="str">
        <f t="shared" si="6"/>
        <v/>
      </c>
      <c r="R213" s="28" t="str">
        <f t="shared" si="7"/>
        <v/>
      </c>
      <c r="S213" s="23" t="str">
        <f>IF(R213="","",IF(R213&gt;=Panduan!$B$4,"Terserap","Perlu Evaluasi"))</f>
        <v/>
      </c>
      <c r="T213" s="30"/>
      <c r="U213" s="30"/>
      <c r="V213" s="28" t="str">
        <f t="shared" si="8"/>
        <v/>
      </c>
      <c r="W213" s="28" t="str">
        <f t="shared" si="9"/>
        <v/>
      </c>
      <c r="X213" s="23" t="str">
        <f>IF(W213="","",IF(W213&gt;=Panduan!$B$4,"Terserap","Perlu Evaluasi"))</f>
        <v/>
      </c>
      <c r="Y213" s="30"/>
      <c r="Z213" s="30"/>
      <c r="AA213" s="28" t="str">
        <f t="shared" si="10"/>
        <v/>
      </c>
      <c r="AB213" s="28" t="str">
        <f t="shared" si="11"/>
        <v/>
      </c>
      <c r="AC213" s="23" t="str">
        <f>IF(AB213="","",IF(AB213&gt;=Panduan!$B$4,"Terserap","Perlu Evaluasi"))</f>
        <v/>
      </c>
      <c r="AD213" s="30"/>
      <c r="AE213" s="30"/>
      <c r="AF213" s="28" t="str">
        <f t="shared" si="12"/>
        <v/>
      </c>
      <c r="AG213" s="28" t="str">
        <f t="shared" si="13"/>
        <v/>
      </c>
      <c r="AH213" s="23" t="str">
        <f>IF(AG213="","",IF(AG213&gt;=Panduan!$B$4,"Terserap","Perlu Evaluasi"))</f>
        <v/>
      </c>
      <c r="AI213" s="29" t="str">
        <f t="shared" ref="AI213:AJ213" si="222">IF(COUNTA(J213,O213,T213,Y213,AD213)=0,"",SUM(J213,O213,T213,Y213,AD213))</f>
        <v/>
      </c>
      <c r="AJ213" s="29" t="str">
        <f t="shared" si="222"/>
        <v/>
      </c>
      <c r="AK213" s="28" t="str">
        <f t="shared" si="15"/>
        <v/>
      </c>
      <c r="AL213" s="28" t="str">
        <f t="shared" si="16"/>
        <v/>
      </c>
      <c r="AM213" s="23" t="str">
        <f>IF(AL213="","",IF(AL213&gt;=Panduan!$B$4,"Terserap","Perlu Evaluasi"))</f>
        <v/>
      </c>
    </row>
    <row r="214" ht="15.75" customHeight="1">
      <c r="A214" s="23" t="str">
        <f t="shared" si="2"/>
        <v/>
      </c>
      <c r="B214" s="33"/>
      <c r="C214" s="23" t="str">
        <f t="shared" si="3"/>
        <v/>
      </c>
      <c r="D214" s="31"/>
      <c r="E214" s="31"/>
      <c r="F214" s="31"/>
      <c r="G214" s="31"/>
      <c r="H214" s="31"/>
      <c r="I214" s="32"/>
      <c r="J214" s="30"/>
      <c r="K214" s="30"/>
      <c r="L214" s="28" t="str">
        <f t="shared" si="4"/>
        <v/>
      </c>
      <c r="M214" s="28" t="str">
        <f t="shared" si="5"/>
        <v/>
      </c>
      <c r="N214" s="23" t="str">
        <f>IF(M214="","",IF(M214&gt;=Panduan!$B$4,"Terserap","Perlu Evaluasi"))</f>
        <v/>
      </c>
      <c r="O214" s="30"/>
      <c r="P214" s="30"/>
      <c r="Q214" s="28" t="str">
        <f t="shared" si="6"/>
        <v/>
      </c>
      <c r="R214" s="28" t="str">
        <f t="shared" si="7"/>
        <v/>
      </c>
      <c r="S214" s="23" t="str">
        <f>IF(R214="","",IF(R214&gt;=Panduan!$B$4,"Terserap","Perlu Evaluasi"))</f>
        <v/>
      </c>
      <c r="T214" s="30"/>
      <c r="U214" s="30"/>
      <c r="V214" s="28" t="str">
        <f t="shared" si="8"/>
        <v/>
      </c>
      <c r="W214" s="28" t="str">
        <f t="shared" si="9"/>
        <v/>
      </c>
      <c r="X214" s="23" t="str">
        <f>IF(W214="","",IF(W214&gt;=Panduan!$B$4,"Terserap","Perlu Evaluasi"))</f>
        <v/>
      </c>
      <c r="Y214" s="30"/>
      <c r="Z214" s="30"/>
      <c r="AA214" s="28" t="str">
        <f t="shared" si="10"/>
        <v/>
      </c>
      <c r="AB214" s="28" t="str">
        <f t="shared" si="11"/>
        <v/>
      </c>
      <c r="AC214" s="23" t="str">
        <f>IF(AB214="","",IF(AB214&gt;=Panduan!$B$4,"Terserap","Perlu Evaluasi"))</f>
        <v/>
      </c>
      <c r="AD214" s="30"/>
      <c r="AE214" s="30"/>
      <c r="AF214" s="28" t="str">
        <f t="shared" si="12"/>
        <v/>
      </c>
      <c r="AG214" s="28" t="str">
        <f t="shared" si="13"/>
        <v/>
      </c>
      <c r="AH214" s="23" t="str">
        <f>IF(AG214="","",IF(AG214&gt;=Panduan!$B$4,"Terserap","Perlu Evaluasi"))</f>
        <v/>
      </c>
      <c r="AI214" s="29" t="str">
        <f t="shared" ref="AI214:AJ214" si="223">IF(COUNTA(J214,O214,T214,Y214,AD214)=0,"",SUM(J214,O214,T214,Y214,AD214))</f>
        <v/>
      </c>
      <c r="AJ214" s="29" t="str">
        <f t="shared" si="223"/>
        <v/>
      </c>
      <c r="AK214" s="28" t="str">
        <f t="shared" si="15"/>
        <v/>
      </c>
      <c r="AL214" s="28" t="str">
        <f t="shared" si="16"/>
        <v/>
      </c>
      <c r="AM214" s="23" t="str">
        <f>IF(AL214="","",IF(AL214&gt;=Panduan!$B$4,"Terserap","Perlu Evaluasi"))</f>
        <v/>
      </c>
    </row>
    <row r="215" ht="15.75" customHeight="1">
      <c r="A215" s="23" t="str">
        <f t="shared" si="2"/>
        <v/>
      </c>
      <c r="B215" s="33"/>
      <c r="C215" s="23" t="str">
        <f t="shared" si="3"/>
        <v/>
      </c>
      <c r="D215" s="31"/>
      <c r="E215" s="31"/>
      <c r="F215" s="31"/>
      <c r="G215" s="31"/>
      <c r="H215" s="31"/>
      <c r="I215" s="32"/>
      <c r="J215" s="30"/>
      <c r="K215" s="30"/>
      <c r="L215" s="28" t="str">
        <f t="shared" si="4"/>
        <v/>
      </c>
      <c r="M215" s="28" t="str">
        <f t="shared" si="5"/>
        <v/>
      </c>
      <c r="N215" s="23" t="str">
        <f>IF(M215="","",IF(M215&gt;=Panduan!$B$4,"Terserap","Perlu Evaluasi"))</f>
        <v/>
      </c>
      <c r="O215" s="30"/>
      <c r="P215" s="30"/>
      <c r="Q215" s="28" t="str">
        <f t="shared" si="6"/>
        <v/>
      </c>
      <c r="R215" s="28" t="str">
        <f t="shared" si="7"/>
        <v/>
      </c>
      <c r="S215" s="23" t="str">
        <f>IF(R215="","",IF(R215&gt;=Panduan!$B$4,"Terserap","Perlu Evaluasi"))</f>
        <v/>
      </c>
      <c r="T215" s="30"/>
      <c r="U215" s="30"/>
      <c r="V215" s="28" t="str">
        <f t="shared" si="8"/>
        <v/>
      </c>
      <c r="W215" s="28" t="str">
        <f t="shared" si="9"/>
        <v/>
      </c>
      <c r="X215" s="23" t="str">
        <f>IF(W215="","",IF(W215&gt;=Panduan!$B$4,"Terserap","Perlu Evaluasi"))</f>
        <v/>
      </c>
      <c r="Y215" s="30"/>
      <c r="Z215" s="30"/>
      <c r="AA215" s="28" t="str">
        <f t="shared" si="10"/>
        <v/>
      </c>
      <c r="AB215" s="28" t="str">
        <f t="shared" si="11"/>
        <v/>
      </c>
      <c r="AC215" s="23" t="str">
        <f>IF(AB215="","",IF(AB215&gt;=Panduan!$B$4,"Terserap","Perlu Evaluasi"))</f>
        <v/>
      </c>
      <c r="AD215" s="30"/>
      <c r="AE215" s="30"/>
      <c r="AF215" s="28" t="str">
        <f t="shared" si="12"/>
        <v/>
      </c>
      <c r="AG215" s="28" t="str">
        <f t="shared" si="13"/>
        <v/>
      </c>
      <c r="AH215" s="23" t="str">
        <f>IF(AG215="","",IF(AG215&gt;=Panduan!$B$4,"Terserap","Perlu Evaluasi"))</f>
        <v/>
      </c>
      <c r="AI215" s="29" t="str">
        <f t="shared" ref="AI215:AJ215" si="224">IF(COUNTA(J215,O215,T215,Y215,AD215)=0,"",SUM(J215,O215,T215,Y215,AD215))</f>
        <v/>
      </c>
      <c r="AJ215" s="29" t="str">
        <f t="shared" si="224"/>
        <v/>
      </c>
      <c r="AK215" s="28" t="str">
        <f t="shared" si="15"/>
        <v/>
      </c>
      <c r="AL215" s="28" t="str">
        <f t="shared" si="16"/>
        <v/>
      </c>
      <c r="AM215" s="23" t="str">
        <f>IF(AL215="","",IF(AL215&gt;=Panduan!$B$4,"Terserap","Perlu Evaluasi"))</f>
        <v/>
      </c>
    </row>
    <row r="216" ht="15.75" customHeight="1">
      <c r="A216" s="23" t="str">
        <f t="shared" si="2"/>
        <v/>
      </c>
      <c r="B216" s="33"/>
      <c r="C216" s="23" t="str">
        <f t="shared" si="3"/>
        <v/>
      </c>
      <c r="D216" s="31"/>
      <c r="E216" s="31"/>
      <c r="F216" s="31"/>
      <c r="G216" s="31"/>
      <c r="H216" s="31"/>
      <c r="I216" s="32"/>
      <c r="J216" s="30"/>
      <c r="K216" s="30"/>
      <c r="L216" s="28" t="str">
        <f t="shared" si="4"/>
        <v/>
      </c>
      <c r="M216" s="28" t="str">
        <f t="shared" si="5"/>
        <v/>
      </c>
      <c r="N216" s="23" t="str">
        <f>IF(M216="","",IF(M216&gt;=Panduan!$B$4,"Terserap","Perlu Evaluasi"))</f>
        <v/>
      </c>
      <c r="O216" s="30"/>
      <c r="P216" s="30"/>
      <c r="Q216" s="28" t="str">
        <f t="shared" si="6"/>
        <v/>
      </c>
      <c r="R216" s="28" t="str">
        <f t="shared" si="7"/>
        <v/>
      </c>
      <c r="S216" s="23" t="str">
        <f>IF(R216="","",IF(R216&gt;=Panduan!$B$4,"Terserap","Perlu Evaluasi"))</f>
        <v/>
      </c>
      <c r="T216" s="30"/>
      <c r="U216" s="30"/>
      <c r="V216" s="28" t="str">
        <f t="shared" si="8"/>
        <v/>
      </c>
      <c r="W216" s="28" t="str">
        <f t="shared" si="9"/>
        <v/>
      </c>
      <c r="X216" s="23" t="str">
        <f>IF(W216="","",IF(W216&gt;=Panduan!$B$4,"Terserap","Perlu Evaluasi"))</f>
        <v/>
      </c>
      <c r="Y216" s="30"/>
      <c r="Z216" s="30"/>
      <c r="AA216" s="28" t="str">
        <f t="shared" si="10"/>
        <v/>
      </c>
      <c r="AB216" s="28" t="str">
        <f t="shared" si="11"/>
        <v/>
      </c>
      <c r="AC216" s="23" t="str">
        <f>IF(AB216="","",IF(AB216&gt;=Panduan!$B$4,"Terserap","Perlu Evaluasi"))</f>
        <v/>
      </c>
      <c r="AD216" s="30"/>
      <c r="AE216" s="30"/>
      <c r="AF216" s="28" t="str">
        <f t="shared" si="12"/>
        <v/>
      </c>
      <c r="AG216" s="28" t="str">
        <f t="shared" si="13"/>
        <v/>
      </c>
      <c r="AH216" s="23" t="str">
        <f>IF(AG216="","",IF(AG216&gt;=Panduan!$B$4,"Terserap","Perlu Evaluasi"))</f>
        <v/>
      </c>
      <c r="AI216" s="29" t="str">
        <f t="shared" ref="AI216:AJ216" si="225">IF(COUNTA(J216,O216,T216,Y216,AD216)=0,"",SUM(J216,O216,T216,Y216,AD216))</f>
        <v/>
      </c>
      <c r="AJ216" s="29" t="str">
        <f t="shared" si="225"/>
        <v/>
      </c>
      <c r="AK216" s="28" t="str">
        <f t="shared" si="15"/>
        <v/>
      </c>
      <c r="AL216" s="28" t="str">
        <f t="shared" si="16"/>
        <v/>
      </c>
      <c r="AM216" s="23" t="str">
        <f>IF(AL216="","",IF(AL216&gt;=Panduan!$B$4,"Terserap","Perlu Evaluasi"))</f>
        <v/>
      </c>
    </row>
    <row r="217" ht="15.75" customHeight="1">
      <c r="A217" s="23" t="str">
        <f t="shared" si="2"/>
        <v/>
      </c>
      <c r="B217" s="33"/>
      <c r="C217" s="23" t="str">
        <f t="shared" si="3"/>
        <v/>
      </c>
      <c r="D217" s="31"/>
      <c r="E217" s="31"/>
      <c r="F217" s="31"/>
      <c r="G217" s="31"/>
      <c r="H217" s="31"/>
      <c r="I217" s="32"/>
      <c r="J217" s="30"/>
      <c r="K217" s="30"/>
      <c r="L217" s="28" t="str">
        <f t="shared" si="4"/>
        <v/>
      </c>
      <c r="M217" s="28" t="str">
        <f t="shared" si="5"/>
        <v/>
      </c>
      <c r="N217" s="23" t="str">
        <f>IF(M217="","",IF(M217&gt;=Panduan!$B$4,"Terserap","Perlu Evaluasi"))</f>
        <v/>
      </c>
      <c r="O217" s="30"/>
      <c r="P217" s="30"/>
      <c r="Q217" s="28" t="str">
        <f t="shared" si="6"/>
        <v/>
      </c>
      <c r="R217" s="28" t="str">
        <f t="shared" si="7"/>
        <v/>
      </c>
      <c r="S217" s="23" t="str">
        <f>IF(R217="","",IF(R217&gt;=Panduan!$B$4,"Terserap","Perlu Evaluasi"))</f>
        <v/>
      </c>
      <c r="T217" s="30"/>
      <c r="U217" s="30"/>
      <c r="V217" s="28" t="str">
        <f t="shared" si="8"/>
        <v/>
      </c>
      <c r="W217" s="28" t="str">
        <f t="shared" si="9"/>
        <v/>
      </c>
      <c r="X217" s="23" t="str">
        <f>IF(W217="","",IF(W217&gt;=Panduan!$B$4,"Terserap","Perlu Evaluasi"))</f>
        <v/>
      </c>
      <c r="Y217" s="30"/>
      <c r="Z217" s="30"/>
      <c r="AA217" s="28" t="str">
        <f t="shared" si="10"/>
        <v/>
      </c>
      <c r="AB217" s="28" t="str">
        <f t="shared" si="11"/>
        <v/>
      </c>
      <c r="AC217" s="23" t="str">
        <f>IF(AB217="","",IF(AB217&gt;=Panduan!$B$4,"Terserap","Perlu Evaluasi"))</f>
        <v/>
      </c>
      <c r="AD217" s="30"/>
      <c r="AE217" s="30"/>
      <c r="AF217" s="28" t="str">
        <f t="shared" si="12"/>
        <v/>
      </c>
      <c r="AG217" s="28" t="str">
        <f t="shared" si="13"/>
        <v/>
      </c>
      <c r="AH217" s="23" t="str">
        <f>IF(AG217="","",IF(AG217&gt;=Panduan!$B$4,"Terserap","Perlu Evaluasi"))</f>
        <v/>
      </c>
      <c r="AI217" s="29" t="str">
        <f t="shared" ref="AI217:AJ217" si="226">IF(COUNTA(J217,O217,T217,Y217,AD217)=0,"",SUM(J217,O217,T217,Y217,AD217))</f>
        <v/>
      </c>
      <c r="AJ217" s="29" t="str">
        <f t="shared" si="226"/>
        <v/>
      </c>
      <c r="AK217" s="28" t="str">
        <f t="shared" si="15"/>
        <v/>
      </c>
      <c r="AL217" s="28" t="str">
        <f t="shared" si="16"/>
        <v/>
      </c>
      <c r="AM217" s="23" t="str">
        <f>IF(AL217="","",IF(AL217&gt;=Panduan!$B$4,"Terserap","Perlu Evaluasi"))</f>
        <v/>
      </c>
    </row>
    <row r="218" ht="15.75" customHeight="1">
      <c r="A218" s="23" t="str">
        <f t="shared" si="2"/>
        <v/>
      </c>
      <c r="B218" s="33"/>
      <c r="C218" s="23" t="str">
        <f t="shared" si="3"/>
        <v/>
      </c>
      <c r="D218" s="31"/>
      <c r="E218" s="31"/>
      <c r="F218" s="31"/>
      <c r="G218" s="31"/>
      <c r="H218" s="31"/>
      <c r="I218" s="32"/>
      <c r="J218" s="30"/>
      <c r="K218" s="30"/>
      <c r="L218" s="28" t="str">
        <f t="shared" si="4"/>
        <v/>
      </c>
      <c r="M218" s="28" t="str">
        <f t="shared" si="5"/>
        <v/>
      </c>
      <c r="N218" s="23" t="str">
        <f>IF(M218="","",IF(M218&gt;=Panduan!$B$4,"Terserap","Perlu Evaluasi"))</f>
        <v/>
      </c>
      <c r="O218" s="30"/>
      <c r="P218" s="30"/>
      <c r="Q218" s="28" t="str">
        <f t="shared" si="6"/>
        <v/>
      </c>
      <c r="R218" s="28" t="str">
        <f t="shared" si="7"/>
        <v/>
      </c>
      <c r="S218" s="23" t="str">
        <f>IF(R218="","",IF(R218&gt;=Panduan!$B$4,"Terserap","Perlu Evaluasi"))</f>
        <v/>
      </c>
      <c r="T218" s="30"/>
      <c r="U218" s="30"/>
      <c r="V218" s="28" t="str">
        <f t="shared" si="8"/>
        <v/>
      </c>
      <c r="W218" s="28" t="str">
        <f t="shared" si="9"/>
        <v/>
      </c>
      <c r="X218" s="23" t="str">
        <f>IF(W218="","",IF(W218&gt;=Panduan!$B$4,"Terserap","Perlu Evaluasi"))</f>
        <v/>
      </c>
      <c r="Y218" s="30"/>
      <c r="Z218" s="30"/>
      <c r="AA218" s="28" t="str">
        <f t="shared" si="10"/>
        <v/>
      </c>
      <c r="AB218" s="28" t="str">
        <f t="shared" si="11"/>
        <v/>
      </c>
      <c r="AC218" s="23" t="str">
        <f>IF(AB218="","",IF(AB218&gt;=Panduan!$B$4,"Terserap","Perlu Evaluasi"))</f>
        <v/>
      </c>
      <c r="AD218" s="30"/>
      <c r="AE218" s="30"/>
      <c r="AF218" s="28" t="str">
        <f t="shared" si="12"/>
        <v/>
      </c>
      <c r="AG218" s="28" t="str">
        <f t="shared" si="13"/>
        <v/>
      </c>
      <c r="AH218" s="23" t="str">
        <f>IF(AG218="","",IF(AG218&gt;=Panduan!$B$4,"Terserap","Perlu Evaluasi"))</f>
        <v/>
      </c>
      <c r="AI218" s="29" t="str">
        <f t="shared" ref="AI218:AJ218" si="227">IF(COUNTA(J218,O218,T218,Y218,AD218)=0,"",SUM(J218,O218,T218,Y218,AD218))</f>
        <v/>
      </c>
      <c r="AJ218" s="29" t="str">
        <f t="shared" si="227"/>
        <v/>
      </c>
      <c r="AK218" s="28" t="str">
        <f t="shared" si="15"/>
        <v/>
      </c>
      <c r="AL218" s="28" t="str">
        <f t="shared" si="16"/>
        <v/>
      </c>
      <c r="AM218" s="23" t="str">
        <f>IF(AL218="","",IF(AL218&gt;=Panduan!$B$4,"Terserap","Perlu Evaluasi"))</f>
        <v/>
      </c>
    </row>
    <row r="219" ht="15.75" customHeight="1">
      <c r="A219" s="23" t="str">
        <f t="shared" si="2"/>
        <v/>
      </c>
      <c r="B219" s="33"/>
      <c r="C219" s="23" t="str">
        <f t="shared" si="3"/>
        <v/>
      </c>
      <c r="D219" s="31"/>
      <c r="E219" s="31"/>
      <c r="F219" s="31"/>
      <c r="G219" s="31"/>
      <c r="H219" s="31"/>
      <c r="I219" s="32"/>
      <c r="J219" s="30"/>
      <c r="K219" s="30"/>
      <c r="L219" s="28" t="str">
        <f t="shared" si="4"/>
        <v/>
      </c>
      <c r="M219" s="28" t="str">
        <f t="shared" si="5"/>
        <v/>
      </c>
      <c r="N219" s="23" t="str">
        <f>IF(M219="","",IF(M219&gt;=Panduan!$B$4,"Terserap","Perlu Evaluasi"))</f>
        <v/>
      </c>
      <c r="O219" s="30"/>
      <c r="P219" s="30"/>
      <c r="Q219" s="28" t="str">
        <f t="shared" si="6"/>
        <v/>
      </c>
      <c r="R219" s="28" t="str">
        <f t="shared" si="7"/>
        <v/>
      </c>
      <c r="S219" s="23" t="str">
        <f>IF(R219="","",IF(R219&gt;=Panduan!$B$4,"Terserap","Perlu Evaluasi"))</f>
        <v/>
      </c>
      <c r="T219" s="30"/>
      <c r="U219" s="30"/>
      <c r="V219" s="28" t="str">
        <f t="shared" si="8"/>
        <v/>
      </c>
      <c r="W219" s="28" t="str">
        <f t="shared" si="9"/>
        <v/>
      </c>
      <c r="X219" s="23" t="str">
        <f>IF(W219="","",IF(W219&gt;=Panduan!$B$4,"Terserap","Perlu Evaluasi"))</f>
        <v/>
      </c>
      <c r="Y219" s="30"/>
      <c r="Z219" s="30"/>
      <c r="AA219" s="28" t="str">
        <f t="shared" si="10"/>
        <v/>
      </c>
      <c r="AB219" s="28" t="str">
        <f t="shared" si="11"/>
        <v/>
      </c>
      <c r="AC219" s="23" t="str">
        <f>IF(AB219="","",IF(AB219&gt;=Panduan!$B$4,"Terserap","Perlu Evaluasi"))</f>
        <v/>
      </c>
      <c r="AD219" s="30"/>
      <c r="AE219" s="30"/>
      <c r="AF219" s="28" t="str">
        <f t="shared" si="12"/>
        <v/>
      </c>
      <c r="AG219" s="28" t="str">
        <f t="shared" si="13"/>
        <v/>
      </c>
      <c r="AH219" s="23" t="str">
        <f>IF(AG219="","",IF(AG219&gt;=Panduan!$B$4,"Terserap","Perlu Evaluasi"))</f>
        <v/>
      </c>
      <c r="AI219" s="29" t="str">
        <f t="shared" ref="AI219:AJ219" si="228">IF(COUNTA(J219,O219,T219,Y219,AD219)=0,"",SUM(J219,O219,T219,Y219,AD219))</f>
        <v/>
      </c>
      <c r="AJ219" s="29" t="str">
        <f t="shared" si="228"/>
        <v/>
      </c>
      <c r="AK219" s="28" t="str">
        <f t="shared" si="15"/>
        <v/>
      </c>
      <c r="AL219" s="28" t="str">
        <f t="shared" si="16"/>
        <v/>
      </c>
      <c r="AM219" s="23" t="str">
        <f>IF(AL219="","",IF(AL219&gt;=Panduan!$B$4,"Terserap","Perlu Evaluasi"))</f>
        <v/>
      </c>
    </row>
    <row r="220" ht="15.75" customHeight="1">
      <c r="A220" s="23" t="str">
        <f t="shared" si="2"/>
        <v/>
      </c>
      <c r="B220" s="33"/>
      <c r="C220" s="23" t="str">
        <f t="shared" si="3"/>
        <v/>
      </c>
      <c r="D220" s="31"/>
      <c r="E220" s="31"/>
      <c r="F220" s="31"/>
      <c r="G220" s="31"/>
      <c r="H220" s="31"/>
      <c r="I220" s="32"/>
      <c r="J220" s="30"/>
      <c r="K220" s="30"/>
      <c r="L220" s="28" t="str">
        <f t="shared" si="4"/>
        <v/>
      </c>
      <c r="M220" s="28" t="str">
        <f t="shared" si="5"/>
        <v/>
      </c>
      <c r="N220" s="23" t="str">
        <f>IF(M220="","",IF(M220&gt;=Panduan!$B$4,"Terserap","Perlu Evaluasi"))</f>
        <v/>
      </c>
      <c r="O220" s="30"/>
      <c r="P220" s="30"/>
      <c r="Q220" s="28" t="str">
        <f t="shared" si="6"/>
        <v/>
      </c>
      <c r="R220" s="28" t="str">
        <f t="shared" si="7"/>
        <v/>
      </c>
      <c r="S220" s="23" t="str">
        <f>IF(R220="","",IF(R220&gt;=Panduan!$B$4,"Terserap","Perlu Evaluasi"))</f>
        <v/>
      </c>
      <c r="T220" s="30"/>
      <c r="U220" s="30"/>
      <c r="V220" s="28" t="str">
        <f t="shared" si="8"/>
        <v/>
      </c>
      <c r="W220" s="28" t="str">
        <f t="shared" si="9"/>
        <v/>
      </c>
      <c r="X220" s="23" t="str">
        <f>IF(W220="","",IF(W220&gt;=Panduan!$B$4,"Terserap","Perlu Evaluasi"))</f>
        <v/>
      </c>
      <c r="Y220" s="30"/>
      <c r="Z220" s="30"/>
      <c r="AA220" s="28" t="str">
        <f t="shared" si="10"/>
        <v/>
      </c>
      <c r="AB220" s="28" t="str">
        <f t="shared" si="11"/>
        <v/>
      </c>
      <c r="AC220" s="23" t="str">
        <f>IF(AB220="","",IF(AB220&gt;=Panduan!$B$4,"Terserap","Perlu Evaluasi"))</f>
        <v/>
      </c>
      <c r="AD220" s="30"/>
      <c r="AE220" s="30"/>
      <c r="AF220" s="28" t="str">
        <f t="shared" si="12"/>
        <v/>
      </c>
      <c r="AG220" s="28" t="str">
        <f t="shared" si="13"/>
        <v/>
      </c>
      <c r="AH220" s="23" t="str">
        <f>IF(AG220="","",IF(AG220&gt;=Panduan!$B$4,"Terserap","Perlu Evaluasi"))</f>
        <v/>
      </c>
      <c r="AI220" s="29" t="str">
        <f t="shared" ref="AI220:AJ220" si="229">IF(COUNTA(J220,O220,T220,Y220,AD220)=0,"",SUM(J220,O220,T220,Y220,AD220))</f>
        <v/>
      </c>
      <c r="AJ220" s="29" t="str">
        <f t="shared" si="229"/>
        <v/>
      </c>
      <c r="AK220" s="28" t="str">
        <f t="shared" si="15"/>
        <v/>
      </c>
      <c r="AL220" s="28" t="str">
        <f t="shared" si="16"/>
        <v/>
      </c>
      <c r="AM220" s="23" t="str">
        <f>IF(AL220="","",IF(AL220&gt;=Panduan!$B$4,"Terserap","Perlu Evaluasi"))</f>
        <v/>
      </c>
    </row>
    <row r="221" ht="15.75" customHeight="1">
      <c r="A221" s="23" t="str">
        <f t="shared" si="2"/>
        <v/>
      </c>
      <c r="B221" s="33"/>
      <c r="C221" s="23" t="str">
        <f t="shared" si="3"/>
        <v/>
      </c>
      <c r="D221" s="31"/>
      <c r="E221" s="31"/>
      <c r="F221" s="31"/>
      <c r="G221" s="31"/>
      <c r="H221" s="31"/>
      <c r="I221" s="32"/>
      <c r="J221" s="30"/>
      <c r="K221" s="30"/>
      <c r="L221" s="28" t="str">
        <f t="shared" si="4"/>
        <v/>
      </c>
      <c r="M221" s="28" t="str">
        <f t="shared" si="5"/>
        <v/>
      </c>
      <c r="N221" s="23" t="str">
        <f>IF(M221="","",IF(M221&gt;=Panduan!$B$4,"Terserap","Perlu Evaluasi"))</f>
        <v/>
      </c>
      <c r="O221" s="30"/>
      <c r="P221" s="30"/>
      <c r="Q221" s="28" t="str">
        <f t="shared" si="6"/>
        <v/>
      </c>
      <c r="R221" s="28" t="str">
        <f t="shared" si="7"/>
        <v/>
      </c>
      <c r="S221" s="23" t="str">
        <f>IF(R221="","",IF(R221&gt;=Panduan!$B$4,"Terserap","Perlu Evaluasi"))</f>
        <v/>
      </c>
      <c r="T221" s="30"/>
      <c r="U221" s="30"/>
      <c r="V221" s="28" t="str">
        <f t="shared" si="8"/>
        <v/>
      </c>
      <c r="W221" s="28" t="str">
        <f t="shared" si="9"/>
        <v/>
      </c>
      <c r="X221" s="23" t="str">
        <f>IF(W221="","",IF(W221&gt;=Panduan!$B$4,"Terserap","Perlu Evaluasi"))</f>
        <v/>
      </c>
      <c r="Y221" s="30"/>
      <c r="Z221" s="30"/>
      <c r="AA221" s="28" t="str">
        <f t="shared" si="10"/>
        <v/>
      </c>
      <c r="AB221" s="28" t="str">
        <f t="shared" si="11"/>
        <v/>
      </c>
      <c r="AC221" s="23" t="str">
        <f>IF(AB221="","",IF(AB221&gt;=Panduan!$B$4,"Terserap","Perlu Evaluasi"))</f>
        <v/>
      </c>
      <c r="AD221" s="30"/>
      <c r="AE221" s="30"/>
      <c r="AF221" s="28" t="str">
        <f t="shared" si="12"/>
        <v/>
      </c>
      <c r="AG221" s="28" t="str">
        <f t="shared" si="13"/>
        <v/>
      </c>
      <c r="AH221" s="23" t="str">
        <f>IF(AG221="","",IF(AG221&gt;=Panduan!$B$4,"Terserap","Perlu Evaluasi"))</f>
        <v/>
      </c>
      <c r="AI221" s="29" t="str">
        <f t="shared" ref="AI221:AJ221" si="230">IF(COUNTA(J221,O221,T221,Y221,AD221)=0,"",SUM(J221,O221,T221,Y221,AD221))</f>
        <v/>
      </c>
      <c r="AJ221" s="29" t="str">
        <f t="shared" si="230"/>
        <v/>
      </c>
      <c r="AK221" s="28" t="str">
        <f t="shared" si="15"/>
        <v/>
      </c>
      <c r="AL221" s="28" t="str">
        <f t="shared" si="16"/>
        <v/>
      </c>
      <c r="AM221" s="23" t="str">
        <f>IF(AL221="","",IF(AL221&gt;=Panduan!$B$4,"Terserap","Perlu Evaluasi"))</f>
        <v/>
      </c>
    </row>
    <row r="222" ht="15.75" customHeight="1">
      <c r="A222" s="23" t="str">
        <f t="shared" si="2"/>
        <v/>
      </c>
      <c r="B222" s="33"/>
      <c r="C222" s="23" t="str">
        <f t="shared" si="3"/>
        <v/>
      </c>
      <c r="D222" s="31"/>
      <c r="E222" s="31"/>
      <c r="F222" s="31"/>
      <c r="G222" s="31"/>
      <c r="H222" s="31"/>
      <c r="I222" s="32"/>
      <c r="J222" s="30"/>
      <c r="K222" s="30"/>
      <c r="L222" s="28" t="str">
        <f t="shared" si="4"/>
        <v/>
      </c>
      <c r="M222" s="28" t="str">
        <f t="shared" si="5"/>
        <v/>
      </c>
      <c r="N222" s="23" t="str">
        <f>IF(M222="","",IF(M222&gt;=Panduan!$B$4,"Terserap","Perlu Evaluasi"))</f>
        <v/>
      </c>
      <c r="O222" s="30"/>
      <c r="P222" s="30"/>
      <c r="Q222" s="28" t="str">
        <f t="shared" si="6"/>
        <v/>
      </c>
      <c r="R222" s="28" t="str">
        <f t="shared" si="7"/>
        <v/>
      </c>
      <c r="S222" s="23" t="str">
        <f>IF(R222="","",IF(R222&gt;=Panduan!$B$4,"Terserap","Perlu Evaluasi"))</f>
        <v/>
      </c>
      <c r="T222" s="30"/>
      <c r="U222" s="30"/>
      <c r="V222" s="28" t="str">
        <f t="shared" si="8"/>
        <v/>
      </c>
      <c r="W222" s="28" t="str">
        <f t="shared" si="9"/>
        <v/>
      </c>
      <c r="X222" s="23" t="str">
        <f>IF(W222="","",IF(W222&gt;=Panduan!$B$4,"Terserap","Perlu Evaluasi"))</f>
        <v/>
      </c>
      <c r="Y222" s="30"/>
      <c r="Z222" s="30"/>
      <c r="AA222" s="28" t="str">
        <f t="shared" si="10"/>
        <v/>
      </c>
      <c r="AB222" s="28" t="str">
        <f t="shared" si="11"/>
        <v/>
      </c>
      <c r="AC222" s="23" t="str">
        <f>IF(AB222="","",IF(AB222&gt;=Panduan!$B$4,"Terserap","Perlu Evaluasi"))</f>
        <v/>
      </c>
      <c r="AD222" s="30"/>
      <c r="AE222" s="30"/>
      <c r="AF222" s="28" t="str">
        <f t="shared" si="12"/>
        <v/>
      </c>
      <c r="AG222" s="28" t="str">
        <f t="shared" si="13"/>
        <v/>
      </c>
      <c r="AH222" s="23" t="str">
        <f>IF(AG222="","",IF(AG222&gt;=Panduan!$B$4,"Terserap","Perlu Evaluasi"))</f>
        <v/>
      </c>
      <c r="AI222" s="29" t="str">
        <f t="shared" ref="AI222:AJ222" si="231">IF(COUNTA(J222,O222,T222,Y222,AD222)=0,"",SUM(J222,O222,T222,Y222,AD222))</f>
        <v/>
      </c>
      <c r="AJ222" s="29" t="str">
        <f t="shared" si="231"/>
        <v/>
      </c>
      <c r="AK222" s="28" t="str">
        <f t="shared" si="15"/>
        <v/>
      </c>
      <c r="AL222" s="28" t="str">
        <f t="shared" si="16"/>
        <v/>
      </c>
      <c r="AM222" s="23" t="str">
        <f>IF(AL222="","",IF(AL222&gt;=Panduan!$B$4,"Terserap","Perlu Evaluasi"))</f>
        <v/>
      </c>
    </row>
    <row r="223" ht="15.75" customHeight="1">
      <c r="A223" s="23" t="str">
        <f t="shared" si="2"/>
        <v/>
      </c>
      <c r="B223" s="33"/>
      <c r="C223" s="23" t="str">
        <f t="shared" si="3"/>
        <v/>
      </c>
      <c r="D223" s="31"/>
      <c r="E223" s="31"/>
      <c r="F223" s="31"/>
      <c r="G223" s="31"/>
      <c r="H223" s="31"/>
      <c r="I223" s="32"/>
      <c r="J223" s="30"/>
      <c r="K223" s="30"/>
      <c r="L223" s="28" t="str">
        <f t="shared" si="4"/>
        <v/>
      </c>
      <c r="M223" s="28" t="str">
        <f t="shared" si="5"/>
        <v/>
      </c>
      <c r="N223" s="23" t="str">
        <f>IF(M223="","",IF(M223&gt;=Panduan!$B$4,"Terserap","Perlu Evaluasi"))</f>
        <v/>
      </c>
      <c r="O223" s="30"/>
      <c r="P223" s="30"/>
      <c r="Q223" s="28" t="str">
        <f t="shared" si="6"/>
        <v/>
      </c>
      <c r="R223" s="28" t="str">
        <f t="shared" si="7"/>
        <v/>
      </c>
      <c r="S223" s="23" t="str">
        <f>IF(R223="","",IF(R223&gt;=Panduan!$B$4,"Terserap","Perlu Evaluasi"))</f>
        <v/>
      </c>
      <c r="T223" s="30"/>
      <c r="U223" s="30"/>
      <c r="V223" s="28" t="str">
        <f t="shared" si="8"/>
        <v/>
      </c>
      <c r="W223" s="28" t="str">
        <f t="shared" si="9"/>
        <v/>
      </c>
      <c r="X223" s="23" t="str">
        <f>IF(W223="","",IF(W223&gt;=Panduan!$B$4,"Terserap","Perlu Evaluasi"))</f>
        <v/>
      </c>
      <c r="Y223" s="30"/>
      <c r="Z223" s="30"/>
      <c r="AA223" s="28" t="str">
        <f t="shared" si="10"/>
        <v/>
      </c>
      <c r="AB223" s="28" t="str">
        <f t="shared" si="11"/>
        <v/>
      </c>
      <c r="AC223" s="23" t="str">
        <f>IF(AB223="","",IF(AB223&gt;=Panduan!$B$4,"Terserap","Perlu Evaluasi"))</f>
        <v/>
      </c>
      <c r="AD223" s="30"/>
      <c r="AE223" s="30"/>
      <c r="AF223" s="28" t="str">
        <f t="shared" si="12"/>
        <v/>
      </c>
      <c r="AG223" s="28" t="str">
        <f t="shared" si="13"/>
        <v/>
      </c>
      <c r="AH223" s="23" t="str">
        <f>IF(AG223="","",IF(AG223&gt;=Panduan!$B$4,"Terserap","Perlu Evaluasi"))</f>
        <v/>
      </c>
      <c r="AI223" s="29" t="str">
        <f t="shared" ref="AI223:AJ223" si="232">IF(COUNTA(J223,O223,T223,Y223,AD223)=0,"",SUM(J223,O223,T223,Y223,AD223))</f>
        <v/>
      </c>
      <c r="AJ223" s="29" t="str">
        <f t="shared" si="232"/>
        <v/>
      </c>
      <c r="AK223" s="28" t="str">
        <f t="shared" si="15"/>
        <v/>
      </c>
      <c r="AL223" s="28" t="str">
        <f t="shared" si="16"/>
        <v/>
      </c>
      <c r="AM223" s="23" t="str">
        <f>IF(AL223="","",IF(AL223&gt;=Panduan!$B$4,"Terserap","Perlu Evaluasi"))</f>
        <v/>
      </c>
    </row>
    <row r="224" ht="15.75" customHeight="1">
      <c r="A224" s="23" t="str">
        <f t="shared" si="2"/>
        <v/>
      </c>
      <c r="B224" s="33"/>
      <c r="C224" s="23" t="str">
        <f t="shared" si="3"/>
        <v/>
      </c>
      <c r="D224" s="31"/>
      <c r="E224" s="31"/>
      <c r="F224" s="31"/>
      <c r="G224" s="31"/>
      <c r="H224" s="31"/>
      <c r="I224" s="32"/>
      <c r="J224" s="30"/>
      <c r="K224" s="30"/>
      <c r="L224" s="28" t="str">
        <f t="shared" si="4"/>
        <v/>
      </c>
      <c r="M224" s="28" t="str">
        <f t="shared" si="5"/>
        <v/>
      </c>
      <c r="N224" s="23" t="str">
        <f>IF(M224="","",IF(M224&gt;=Panduan!$B$4,"Terserap","Perlu Evaluasi"))</f>
        <v/>
      </c>
      <c r="O224" s="30"/>
      <c r="P224" s="30"/>
      <c r="Q224" s="28" t="str">
        <f t="shared" si="6"/>
        <v/>
      </c>
      <c r="R224" s="28" t="str">
        <f t="shared" si="7"/>
        <v/>
      </c>
      <c r="S224" s="23" t="str">
        <f>IF(R224="","",IF(R224&gt;=Panduan!$B$4,"Terserap","Perlu Evaluasi"))</f>
        <v/>
      </c>
      <c r="T224" s="30"/>
      <c r="U224" s="30"/>
      <c r="V224" s="28" t="str">
        <f t="shared" si="8"/>
        <v/>
      </c>
      <c r="W224" s="28" t="str">
        <f t="shared" si="9"/>
        <v/>
      </c>
      <c r="X224" s="23" t="str">
        <f>IF(W224="","",IF(W224&gt;=Panduan!$B$4,"Terserap","Perlu Evaluasi"))</f>
        <v/>
      </c>
      <c r="Y224" s="30"/>
      <c r="Z224" s="30"/>
      <c r="AA224" s="28" t="str">
        <f t="shared" si="10"/>
        <v/>
      </c>
      <c r="AB224" s="28" t="str">
        <f t="shared" si="11"/>
        <v/>
      </c>
      <c r="AC224" s="23" t="str">
        <f>IF(AB224="","",IF(AB224&gt;=Panduan!$B$4,"Terserap","Perlu Evaluasi"))</f>
        <v/>
      </c>
      <c r="AD224" s="30"/>
      <c r="AE224" s="30"/>
      <c r="AF224" s="28" t="str">
        <f t="shared" si="12"/>
        <v/>
      </c>
      <c r="AG224" s="28" t="str">
        <f t="shared" si="13"/>
        <v/>
      </c>
      <c r="AH224" s="23" t="str">
        <f>IF(AG224="","",IF(AG224&gt;=Panduan!$B$4,"Terserap","Perlu Evaluasi"))</f>
        <v/>
      </c>
      <c r="AI224" s="29" t="str">
        <f t="shared" ref="AI224:AJ224" si="233">IF(COUNTA(J224,O224,T224,Y224,AD224)=0,"",SUM(J224,O224,T224,Y224,AD224))</f>
        <v/>
      </c>
      <c r="AJ224" s="29" t="str">
        <f t="shared" si="233"/>
        <v/>
      </c>
      <c r="AK224" s="28" t="str">
        <f t="shared" si="15"/>
        <v/>
      </c>
      <c r="AL224" s="28" t="str">
        <f t="shared" si="16"/>
        <v/>
      </c>
      <c r="AM224" s="23" t="str">
        <f>IF(AL224="","",IF(AL224&gt;=Panduan!$B$4,"Terserap","Perlu Evaluasi"))</f>
        <v/>
      </c>
    </row>
    <row r="225" ht="15.75" customHeight="1">
      <c r="A225" s="23" t="str">
        <f t="shared" si="2"/>
        <v/>
      </c>
      <c r="B225" s="33"/>
      <c r="C225" s="23" t="str">
        <f t="shared" si="3"/>
        <v/>
      </c>
      <c r="D225" s="31"/>
      <c r="E225" s="31"/>
      <c r="F225" s="31"/>
      <c r="G225" s="31"/>
      <c r="H225" s="31"/>
      <c r="I225" s="32"/>
      <c r="J225" s="30"/>
      <c r="K225" s="30"/>
      <c r="L225" s="28" t="str">
        <f t="shared" si="4"/>
        <v/>
      </c>
      <c r="M225" s="28" t="str">
        <f t="shared" si="5"/>
        <v/>
      </c>
      <c r="N225" s="23" t="str">
        <f>IF(M225="","",IF(M225&gt;=Panduan!$B$4,"Terserap","Perlu Evaluasi"))</f>
        <v/>
      </c>
      <c r="O225" s="30"/>
      <c r="P225" s="30"/>
      <c r="Q225" s="28" t="str">
        <f t="shared" si="6"/>
        <v/>
      </c>
      <c r="R225" s="28" t="str">
        <f t="shared" si="7"/>
        <v/>
      </c>
      <c r="S225" s="23" t="str">
        <f>IF(R225="","",IF(R225&gt;=Panduan!$B$4,"Terserap","Perlu Evaluasi"))</f>
        <v/>
      </c>
      <c r="T225" s="30"/>
      <c r="U225" s="30"/>
      <c r="V225" s="28" t="str">
        <f t="shared" si="8"/>
        <v/>
      </c>
      <c r="W225" s="28" t="str">
        <f t="shared" si="9"/>
        <v/>
      </c>
      <c r="X225" s="23" t="str">
        <f>IF(W225="","",IF(W225&gt;=Panduan!$B$4,"Terserap","Perlu Evaluasi"))</f>
        <v/>
      </c>
      <c r="Y225" s="30"/>
      <c r="Z225" s="30"/>
      <c r="AA225" s="28" t="str">
        <f t="shared" si="10"/>
        <v/>
      </c>
      <c r="AB225" s="28" t="str">
        <f t="shared" si="11"/>
        <v/>
      </c>
      <c r="AC225" s="23" t="str">
        <f>IF(AB225="","",IF(AB225&gt;=Panduan!$B$4,"Terserap","Perlu Evaluasi"))</f>
        <v/>
      </c>
      <c r="AD225" s="30"/>
      <c r="AE225" s="30"/>
      <c r="AF225" s="28" t="str">
        <f t="shared" si="12"/>
        <v/>
      </c>
      <c r="AG225" s="28" t="str">
        <f t="shared" si="13"/>
        <v/>
      </c>
      <c r="AH225" s="23" t="str">
        <f>IF(AG225="","",IF(AG225&gt;=Panduan!$B$4,"Terserap","Perlu Evaluasi"))</f>
        <v/>
      </c>
      <c r="AI225" s="29" t="str">
        <f t="shared" ref="AI225:AJ225" si="234">IF(COUNTA(J225,O225,T225,Y225,AD225)=0,"",SUM(J225,O225,T225,Y225,AD225))</f>
        <v/>
      </c>
      <c r="AJ225" s="29" t="str">
        <f t="shared" si="234"/>
        <v/>
      </c>
      <c r="AK225" s="28" t="str">
        <f t="shared" si="15"/>
        <v/>
      </c>
      <c r="AL225" s="28" t="str">
        <f t="shared" si="16"/>
        <v/>
      </c>
      <c r="AM225" s="23" t="str">
        <f>IF(AL225="","",IF(AL225&gt;=Panduan!$B$4,"Terserap","Perlu Evaluasi"))</f>
        <v/>
      </c>
    </row>
    <row r="226" ht="15.75" customHeight="1">
      <c r="A226" s="23" t="str">
        <f t="shared" si="2"/>
        <v/>
      </c>
      <c r="B226" s="33"/>
      <c r="C226" s="23" t="str">
        <f t="shared" si="3"/>
        <v/>
      </c>
      <c r="D226" s="31"/>
      <c r="E226" s="31"/>
      <c r="F226" s="31"/>
      <c r="G226" s="31"/>
      <c r="H226" s="31"/>
      <c r="I226" s="32"/>
      <c r="J226" s="30"/>
      <c r="K226" s="30"/>
      <c r="L226" s="28" t="str">
        <f t="shared" si="4"/>
        <v/>
      </c>
      <c r="M226" s="28" t="str">
        <f t="shared" si="5"/>
        <v/>
      </c>
      <c r="N226" s="23" t="str">
        <f>IF(M226="","",IF(M226&gt;=Panduan!$B$4,"Terserap","Perlu Evaluasi"))</f>
        <v/>
      </c>
      <c r="O226" s="30"/>
      <c r="P226" s="30"/>
      <c r="Q226" s="28" t="str">
        <f t="shared" si="6"/>
        <v/>
      </c>
      <c r="R226" s="28" t="str">
        <f t="shared" si="7"/>
        <v/>
      </c>
      <c r="S226" s="23" t="str">
        <f>IF(R226="","",IF(R226&gt;=Panduan!$B$4,"Terserap","Perlu Evaluasi"))</f>
        <v/>
      </c>
      <c r="T226" s="30"/>
      <c r="U226" s="30"/>
      <c r="V226" s="28" t="str">
        <f t="shared" si="8"/>
        <v/>
      </c>
      <c r="W226" s="28" t="str">
        <f t="shared" si="9"/>
        <v/>
      </c>
      <c r="X226" s="23" t="str">
        <f>IF(W226="","",IF(W226&gt;=Panduan!$B$4,"Terserap","Perlu Evaluasi"))</f>
        <v/>
      </c>
      <c r="Y226" s="30"/>
      <c r="Z226" s="30"/>
      <c r="AA226" s="28" t="str">
        <f t="shared" si="10"/>
        <v/>
      </c>
      <c r="AB226" s="28" t="str">
        <f t="shared" si="11"/>
        <v/>
      </c>
      <c r="AC226" s="23" t="str">
        <f>IF(AB226="","",IF(AB226&gt;=Panduan!$B$4,"Terserap","Perlu Evaluasi"))</f>
        <v/>
      </c>
      <c r="AD226" s="30"/>
      <c r="AE226" s="30"/>
      <c r="AF226" s="28" t="str">
        <f t="shared" si="12"/>
        <v/>
      </c>
      <c r="AG226" s="28" t="str">
        <f t="shared" si="13"/>
        <v/>
      </c>
      <c r="AH226" s="23" t="str">
        <f>IF(AG226="","",IF(AG226&gt;=Panduan!$B$4,"Terserap","Perlu Evaluasi"))</f>
        <v/>
      </c>
      <c r="AI226" s="29" t="str">
        <f t="shared" ref="AI226:AJ226" si="235">IF(COUNTA(J226,O226,T226,Y226,AD226)=0,"",SUM(J226,O226,T226,Y226,AD226))</f>
        <v/>
      </c>
      <c r="AJ226" s="29" t="str">
        <f t="shared" si="235"/>
        <v/>
      </c>
      <c r="AK226" s="28" t="str">
        <f t="shared" si="15"/>
        <v/>
      </c>
      <c r="AL226" s="28" t="str">
        <f t="shared" si="16"/>
        <v/>
      </c>
      <c r="AM226" s="23" t="str">
        <f>IF(AL226="","",IF(AL226&gt;=Panduan!$B$4,"Terserap","Perlu Evaluasi"))</f>
        <v/>
      </c>
    </row>
    <row r="227" ht="15.75" customHeight="1">
      <c r="A227" s="23" t="str">
        <f t="shared" si="2"/>
        <v/>
      </c>
      <c r="B227" s="33"/>
      <c r="C227" s="23" t="str">
        <f t="shared" si="3"/>
        <v/>
      </c>
      <c r="D227" s="31"/>
      <c r="E227" s="31"/>
      <c r="F227" s="31"/>
      <c r="G227" s="31"/>
      <c r="H227" s="31"/>
      <c r="I227" s="32"/>
      <c r="J227" s="30"/>
      <c r="K227" s="30"/>
      <c r="L227" s="28" t="str">
        <f t="shared" si="4"/>
        <v/>
      </c>
      <c r="M227" s="28" t="str">
        <f t="shared" si="5"/>
        <v/>
      </c>
      <c r="N227" s="23" t="str">
        <f>IF(M227="","",IF(M227&gt;=Panduan!$B$4,"Terserap","Perlu Evaluasi"))</f>
        <v/>
      </c>
      <c r="O227" s="30"/>
      <c r="P227" s="30"/>
      <c r="Q227" s="28" t="str">
        <f t="shared" si="6"/>
        <v/>
      </c>
      <c r="R227" s="28" t="str">
        <f t="shared" si="7"/>
        <v/>
      </c>
      <c r="S227" s="23" t="str">
        <f>IF(R227="","",IF(R227&gt;=Panduan!$B$4,"Terserap","Perlu Evaluasi"))</f>
        <v/>
      </c>
      <c r="T227" s="30"/>
      <c r="U227" s="30"/>
      <c r="V227" s="28" t="str">
        <f t="shared" si="8"/>
        <v/>
      </c>
      <c r="W227" s="28" t="str">
        <f t="shared" si="9"/>
        <v/>
      </c>
      <c r="X227" s="23" t="str">
        <f>IF(W227="","",IF(W227&gt;=Panduan!$B$4,"Terserap","Perlu Evaluasi"))</f>
        <v/>
      </c>
      <c r="Y227" s="30"/>
      <c r="Z227" s="30"/>
      <c r="AA227" s="28" t="str">
        <f t="shared" si="10"/>
        <v/>
      </c>
      <c r="AB227" s="28" t="str">
        <f t="shared" si="11"/>
        <v/>
      </c>
      <c r="AC227" s="23" t="str">
        <f>IF(AB227="","",IF(AB227&gt;=Panduan!$B$4,"Terserap","Perlu Evaluasi"))</f>
        <v/>
      </c>
      <c r="AD227" s="30"/>
      <c r="AE227" s="30"/>
      <c r="AF227" s="28" t="str">
        <f t="shared" si="12"/>
        <v/>
      </c>
      <c r="AG227" s="28" t="str">
        <f t="shared" si="13"/>
        <v/>
      </c>
      <c r="AH227" s="23" t="str">
        <f>IF(AG227="","",IF(AG227&gt;=Panduan!$B$4,"Terserap","Perlu Evaluasi"))</f>
        <v/>
      </c>
      <c r="AI227" s="29" t="str">
        <f t="shared" ref="AI227:AJ227" si="236">IF(COUNTA(J227,O227,T227,Y227,AD227)=0,"",SUM(J227,O227,T227,Y227,AD227))</f>
        <v/>
      </c>
      <c r="AJ227" s="29" t="str">
        <f t="shared" si="236"/>
        <v/>
      </c>
      <c r="AK227" s="28" t="str">
        <f t="shared" si="15"/>
        <v/>
      </c>
      <c r="AL227" s="28" t="str">
        <f t="shared" si="16"/>
        <v/>
      </c>
      <c r="AM227" s="23" t="str">
        <f>IF(AL227="","",IF(AL227&gt;=Panduan!$B$4,"Terserap","Perlu Evaluasi"))</f>
        <v/>
      </c>
    </row>
    <row r="228" ht="15.75" customHeight="1">
      <c r="A228" s="23" t="str">
        <f t="shared" si="2"/>
        <v/>
      </c>
      <c r="B228" s="33"/>
      <c r="C228" s="23" t="str">
        <f t="shared" si="3"/>
        <v/>
      </c>
      <c r="D228" s="31"/>
      <c r="E228" s="31"/>
      <c r="F228" s="31"/>
      <c r="G228" s="31"/>
      <c r="H228" s="31"/>
      <c r="I228" s="32"/>
      <c r="J228" s="30"/>
      <c r="K228" s="30"/>
      <c r="L228" s="28" t="str">
        <f t="shared" si="4"/>
        <v/>
      </c>
      <c r="M228" s="28" t="str">
        <f t="shared" si="5"/>
        <v/>
      </c>
      <c r="N228" s="23" t="str">
        <f>IF(M228="","",IF(M228&gt;=Panduan!$B$4,"Terserap","Perlu Evaluasi"))</f>
        <v/>
      </c>
      <c r="O228" s="30"/>
      <c r="P228" s="30"/>
      <c r="Q228" s="28" t="str">
        <f t="shared" si="6"/>
        <v/>
      </c>
      <c r="R228" s="28" t="str">
        <f t="shared" si="7"/>
        <v/>
      </c>
      <c r="S228" s="23" t="str">
        <f>IF(R228="","",IF(R228&gt;=Panduan!$B$4,"Terserap","Perlu Evaluasi"))</f>
        <v/>
      </c>
      <c r="T228" s="30"/>
      <c r="U228" s="30"/>
      <c r="V228" s="28" t="str">
        <f t="shared" si="8"/>
        <v/>
      </c>
      <c r="W228" s="28" t="str">
        <f t="shared" si="9"/>
        <v/>
      </c>
      <c r="X228" s="23" t="str">
        <f>IF(W228="","",IF(W228&gt;=Panduan!$B$4,"Terserap","Perlu Evaluasi"))</f>
        <v/>
      </c>
      <c r="Y228" s="30"/>
      <c r="Z228" s="30"/>
      <c r="AA228" s="28" t="str">
        <f t="shared" si="10"/>
        <v/>
      </c>
      <c r="AB228" s="28" t="str">
        <f t="shared" si="11"/>
        <v/>
      </c>
      <c r="AC228" s="23" t="str">
        <f>IF(AB228="","",IF(AB228&gt;=Panduan!$B$4,"Terserap","Perlu Evaluasi"))</f>
        <v/>
      </c>
      <c r="AD228" s="30"/>
      <c r="AE228" s="30"/>
      <c r="AF228" s="28" t="str">
        <f t="shared" si="12"/>
        <v/>
      </c>
      <c r="AG228" s="28" t="str">
        <f t="shared" si="13"/>
        <v/>
      </c>
      <c r="AH228" s="23" t="str">
        <f>IF(AG228="","",IF(AG228&gt;=Panduan!$B$4,"Terserap","Perlu Evaluasi"))</f>
        <v/>
      </c>
      <c r="AI228" s="29" t="str">
        <f t="shared" ref="AI228:AJ228" si="237">IF(COUNTA(J228,O228,T228,Y228,AD228)=0,"",SUM(J228,O228,T228,Y228,AD228))</f>
        <v/>
      </c>
      <c r="AJ228" s="29" t="str">
        <f t="shared" si="237"/>
        <v/>
      </c>
      <c r="AK228" s="28" t="str">
        <f t="shared" si="15"/>
        <v/>
      </c>
      <c r="AL228" s="28" t="str">
        <f t="shared" si="16"/>
        <v/>
      </c>
      <c r="AM228" s="23" t="str">
        <f>IF(AL228="","",IF(AL228&gt;=Panduan!$B$4,"Terserap","Perlu Evaluasi"))</f>
        <v/>
      </c>
    </row>
    <row r="229" ht="15.75" customHeight="1">
      <c r="A229" s="23" t="str">
        <f t="shared" si="2"/>
        <v/>
      </c>
      <c r="B229" s="33"/>
      <c r="C229" s="23" t="str">
        <f t="shared" si="3"/>
        <v/>
      </c>
      <c r="D229" s="31"/>
      <c r="E229" s="31"/>
      <c r="F229" s="31"/>
      <c r="G229" s="31"/>
      <c r="H229" s="31"/>
      <c r="I229" s="32"/>
      <c r="J229" s="30"/>
      <c r="K229" s="30"/>
      <c r="L229" s="28" t="str">
        <f t="shared" si="4"/>
        <v/>
      </c>
      <c r="M229" s="28" t="str">
        <f t="shared" si="5"/>
        <v/>
      </c>
      <c r="N229" s="23" t="str">
        <f>IF(M229="","",IF(M229&gt;=Panduan!$B$4,"Terserap","Perlu Evaluasi"))</f>
        <v/>
      </c>
      <c r="O229" s="30"/>
      <c r="P229" s="30"/>
      <c r="Q229" s="28" t="str">
        <f t="shared" si="6"/>
        <v/>
      </c>
      <c r="R229" s="28" t="str">
        <f t="shared" si="7"/>
        <v/>
      </c>
      <c r="S229" s="23" t="str">
        <f>IF(R229="","",IF(R229&gt;=Panduan!$B$4,"Terserap","Perlu Evaluasi"))</f>
        <v/>
      </c>
      <c r="T229" s="30"/>
      <c r="U229" s="30"/>
      <c r="V229" s="28" t="str">
        <f t="shared" si="8"/>
        <v/>
      </c>
      <c r="W229" s="28" t="str">
        <f t="shared" si="9"/>
        <v/>
      </c>
      <c r="X229" s="23" t="str">
        <f>IF(W229="","",IF(W229&gt;=Panduan!$B$4,"Terserap","Perlu Evaluasi"))</f>
        <v/>
      </c>
      <c r="Y229" s="30"/>
      <c r="Z229" s="30"/>
      <c r="AA229" s="28" t="str">
        <f t="shared" si="10"/>
        <v/>
      </c>
      <c r="AB229" s="28" t="str">
        <f t="shared" si="11"/>
        <v/>
      </c>
      <c r="AC229" s="23" t="str">
        <f>IF(AB229="","",IF(AB229&gt;=Panduan!$B$4,"Terserap","Perlu Evaluasi"))</f>
        <v/>
      </c>
      <c r="AD229" s="30"/>
      <c r="AE229" s="30"/>
      <c r="AF229" s="28" t="str">
        <f t="shared" si="12"/>
        <v/>
      </c>
      <c r="AG229" s="28" t="str">
        <f t="shared" si="13"/>
        <v/>
      </c>
      <c r="AH229" s="23" t="str">
        <f>IF(AG229="","",IF(AG229&gt;=Panduan!$B$4,"Terserap","Perlu Evaluasi"))</f>
        <v/>
      </c>
      <c r="AI229" s="29" t="str">
        <f t="shared" ref="AI229:AJ229" si="238">IF(COUNTA(J229,O229,T229,Y229,AD229)=0,"",SUM(J229,O229,T229,Y229,AD229))</f>
        <v/>
      </c>
      <c r="AJ229" s="29" t="str">
        <f t="shared" si="238"/>
        <v/>
      </c>
      <c r="AK229" s="28" t="str">
        <f t="shared" si="15"/>
        <v/>
      </c>
      <c r="AL229" s="28" t="str">
        <f t="shared" si="16"/>
        <v/>
      </c>
      <c r="AM229" s="23" t="str">
        <f>IF(AL229="","",IF(AL229&gt;=Panduan!$B$4,"Terserap","Perlu Evaluasi"))</f>
        <v/>
      </c>
    </row>
    <row r="230" ht="15.75" customHeight="1">
      <c r="A230" s="23" t="str">
        <f t="shared" si="2"/>
        <v/>
      </c>
      <c r="B230" s="33"/>
      <c r="C230" s="23" t="str">
        <f t="shared" si="3"/>
        <v/>
      </c>
      <c r="D230" s="31"/>
      <c r="E230" s="31"/>
      <c r="F230" s="31"/>
      <c r="G230" s="31"/>
      <c r="H230" s="31"/>
      <c r="I230" s="32"/>
      <c r="J230" s="30"/>
      <c r="K230" s="30"/>
      <c r="L230" s="28" t="str">
        <f t="shared" si="4"/>
        <v/>
      </c>
      <c r="M230" s="28" t="str">
        <f t="shared" si="5"/>
        <v/>
      </c>
      <c r="N230" s="23" t="str">
        <f>IF(M230="","",IF(M230&gt;=Panduan!$B$4,"Terserap","Perlu Evaluasi"))</f>
        <v/>
      </c>
      <c r="O230" s="30"/>
      <c r="P230" s="30"/>
      <c r="Q230" s="28" t="str">
        <f t="shared" si="6"/>
        <v/>
      </c>
      <c r="R230" s="28" t="str">
        <f t="shared" si="7"/>
        <v/>
      </c>
      <c r="S230" s="23" t="str">
        <f>IF(R230="","",IF(R230&gt;=Panduan!$B$4,"Terserap","Perlu Evaluasi"))</f>
        <v/>
      </c>
      <c r="T230" s="30"/>
      <c r="U230" s="30"/>
      <c r="V230" s="28" t="str">
        <f t="shared" si="8"/>
        <v/>
      </c>
      <c r="W230" s="28" t="str">
        <f t="shared" si="9"/>
        <v/>
      </c>
      <c r="X230" s="23" t="str">
        <f>IF(W230="","",IF(W230&gt;=Panduan!$B$4,"Terserap","Perlu Evaluasi"))</f>
        <v/>
      </c>
      <c r="Y230" s="30"/>
      <c r="Z230" s="30"/>
      <c r="AA230" s="28" t="str">
        <f t="shared" si="10"/>
        <v/>
      </c>
      <c r="AB230" s="28" t="str">
        <f t="shared" si="11"/>
        <v/>
      </c>
      <c r="AC230" s="23" t="str">
        <f>IF(AB230="","",IF(AB230&gt;=Panduan!$B$4,"Terserap","Perlu Evaluasi"))</f>
        <v/>
      </c>
      <c r="AD230" s="30"/>
      <c r="AE230" s="30"/>
      <c r="AF230" s="28" t="str">
        <f t="shared" si="12"/>
        <v/>
      </c>
      <c r="AG230" s="28" t="str">
        <f t="shared" si="13"/>
        <v/>
      </c>
      <c r="AH230" s="23" t="str">
        <f>IF(AG230="","",IF(AG230&gt;=Panduan!$B$4,"Terserap","Perlu Evaluasi"))</f>
        <v/>
      </c>
      <c r="AI230" s="29" t="str">
        <f t="shared" ref="AI230:AJ230" si="239">IF(COUNTA(J230,O230,T230,Y230,AD230)=0,"",SUM(J230,O230,T230,Y230,AD230))</f>
        <v/>
      </c>
      <c r="AJ230" s="29" t="str">
        <f t="shared" si="239"/>
        <v/>
      </c>
      <c r="AK230" s="28" t="str">
        <f t="shared" si="15"/>
        <v/>
      </c>
      <c r="AL230" s="28" t="str">
        <f t="shared" si="16"/>
        <v/>
      </c>
      <c r="AM230" s="23" t="str">
        <f>IF(AL230="","",IF(AL230&gt;=Panduan!$B$4,"Terserap","Perlu Evaluasi"))</f>
        <v/>
      </c>
    </row>
    <row r="231" ht="15.75" customHeight="1">
      <c r="A231" s="23" t="str">
        <f t="shared" si="2"/>
        <v/>
      </c>
      <c r="B231" s="33"/>
      <c r="C231" s="23" t="str">
        <f t="shared" si="3"/>
        <v/>
      </c>
      <c r="D231" s="31"/>
      <c r="E231" s="31"/>
      <c r="F231" s="31"/>
      <c r="G231" s="31"/>
      <c r="H231" s="31"/>
      <c r="I231" s="32"/>
      <c r="J231" s="30"/>
      <c r="K231" s="30"/>
      <c r="L231" s="28" t="str">
        <f t="shared" si="4"/>
        <v/>
      </c>
      <c r="M231" s="28" t="str">
        <f t="shared" si="5"/>
        <v/>
      </c>
      <c r="N231" s="23" t="str">
        <f>IF(M231="","",IF(M231&gt;=Panduan!$B$4,"Terserap","Perlu Evaluasi"))</f>
        <v/>
      </c>
      <c r="O231" s="30"/>
      <c r="P231" s="30"/>
      <c r="Q231" s="28" t="str">
        <f t="shared" si="6"/>
        <v/>
      </c>
      <c r="R231" s="28" t="str">
        <f t="shared" si="7"/>
        <v/>
      </c>
      <c r="S231" s="23" t="str">
        <f>IF(R231="","",IF(R231&gt;=Panduan!$B$4,"Terserap","Perlu Evaluasi"))</f>
        <v/>
      </c>
      <c r="T231" s="30"/>
      <c r="U231" s="30"/>
      <c r="V231" s="28" t="str">
        <f t="shared" si="8"/>
        <v/>
      </c>
      <c r="W231" s="28" t="str">
        <f t="shared" si="9"/>
        <v/>
      </c>
      <c r="X231" s="23" t="str">
        <f>IF(W231="","",IF(W231&gt;=Panduan!$B$4,"Terserap","Perlu Evaluasi"))</f>
        <v/>
      </c>
      <c r="Y231" s="30"/>
      <c r="Z231" s="30"/>
      <c r="AA231" s="28" t="str">
        <f t="shared" si="10"/>
        <v/>
      </c>
      <c r="AB231" s="28" t="str">
        <f t="shared" si="11"/>
        <v/>
      </c>
      <c r="AC231" s="23" t="str">
        <f>IF(AB231="","",IF(AB231&gt;=Panduan!$B$4,"Terserap","Perlu Evaluasi"))</f>
        <v/>
      </c>
      <c r="AD231" s="30"/>
      <c r="AE231" s="30"/>
      <c r="AF231" s="28" t="str">
        <f t="shared" si="12"/>
        <v/>
      </c>
      <c r="AG231" s="28" t="str">
        <f t="shared" si="13"/>
        <v/>
      </c>
      <c r="AH231" s="23" t="str">
        <f>IF(AG231="","",IF(AG231&gt;=Panduan!$B$4,"Terserap","Perlu Evaluasi"))</f>
        <v/>
      </c>
      <c r="AI231" s="29" t="str">
        <f t="shared" ref="AI231:AJ231" si="240">IF(COUNTA(J231,O231,T231,Y231,AD231)=0,"",SUM(J231,O231,T231,Y231,AD231))</f>
        <v/>
      </c>
      <c r="AJ231" s="29" t="str">
        <f t="shared" si="240"/>
        <v/>
      </c>
      <c r="AK231" s="28" t="str">
        <f t="shared" si="15"/>
        <v/>
      </c>
      <c r="AL231" s="28" t="str">
        <f t="shared" si="16"/>
        <v/>
      </c>
      <c r="AM231" s="23" t="str">
        <f>IF(AL231="","",IF(AL231&gt;=Panduan!$B$4,"Terserap","Perlu Evaluasi"))</f>
        <v/>
      </c>
    </row>
    <row r="232" ht="15.75" customHeight="1">
      <c r="A232" s="23" t="str">
        <f t="shared" si="2"/>
        <v/>
      </c>
      <c r="B232" s="33"/>
      <c r="C232" s="23" t="str">
        <f t="shared" si="3"/>
        <v/>
      </c>
      <c r="D232" s="31"/>
      <c r="E232" s="31"/>
      <c r="F232" s="31"/>
      <c r="G232" s="31"/>
      <c r="H232" s="31"/>
      <c r="I232" s="32"/>
      <c r="J232" s="30"/>
      <c r="K232" s="30"/>
      <c r="L232" s="28" t="str">
        <f t="shared" si="4"/>
        <v/>
      </c>
      <c r="M232" s="28" t="str">
        <f t="shared" si="5"/>
        <v/>
      </c>
      <c r="N232" s="23" t="str">
        <f>IF(M232="","",IF(M232&gt;=Panduan!$B$4,"Terserap","Perlu Evaluasi"))</f>
        <v/>
      </c>
      <c r="O232" s="30"/>
      <c r="P232" s="30"/>
      <c r="Q232" s="28" t="str">
        <f t="shared" si="6"/>
        <v/>
      </c>
      <c r="R232" s="28" t="str">
        <f t="shared" si="7"/>
        <v/>
      </c>
      <c r="S232" s="23" t="str">
        <f>IF(R232="","",IF(R232&gt;=Panduan!$B$4,"Terserap","Perlu Evaluasi"))</f>
        <v/>
      </c>
      <c r="T232" s="30"/>
      <c r="U232" s="30"/>
      <c r="V232" s="28" t="str">
        <f t="shared" si="8"/>
        <v/>
      </c>
      <c r="W232" s="28" t="str">
        <f t="shared" si="9"/>
        <v/>
      </c>
      <c r="X232" s="23" t="str">
        <f>IF(W232="","",IF(W232&gt;=Panduan!$B$4,"Terserap","Perlu Evaluasi"))</f>
        <v/>
      </c>
      <c r="Y232" s="30"/>
      <c r="Z232" s="30"/>
      <c r="AA232" s="28" t="str">
        <f t="shared" si="10"/>
        <v/>
      </c>
      <c r="AB232" s="28" t="str">
        <f t="shared" si="11"/>
        <v/>
      </c>
      <c r="AC232" s="23" t="str">
        <f>IF(AB232="","",IF(AB232&gt;=Panduan!$B$4,"Terserap","Perlu Evaluasi"))</f>
        <v/>
      </c>
      <c r="AD232" s="30"/>
      <c r="AE232" s="30"/>
      <c r="AF232" s="28" t="str">
        <f t="shared" si="12"/>
        <v/>
      </c>
      <c r="AG232" s="28" t="str">
        <f t="shared" si="13"/>
        <v/>
      </c>
      <c r="AH232" s="23" t="str">
        <f>IF(AG232="","",IF(AG232&gt;=Panduan!$B$4,"Terserap","Perlu Evaluasi"))</f>
        <v/>
      </c>
      <c r="AI232" s="29" t="str">
        <f t="shared" ref="AI232:AJ232" si="241">IF(COUNTA(J232,O232,T232,Y232,AD232)=0,"",SUM(J232,O232,T232,Y232,AD232))</f>
        <v/>
      </c>
      <c r="AJ232" s="29" t="str">
        <f t="shared" si="241"/>
        <v/>
      </c>
      <c r="AK232" s="28" t="str">
        <f t="shared" si="15"/>
        <v/>
      </c>
      <c r="AL232" s="28" t="str">
        <f t="shared" si="16"/>
        <v/>
      </c>
      <c r="AM232" s="23" t="str">
        <f>IF(AL232="","",IF(AL232&gt;=Panduan!$B$4,"Terserap","Perlu Evaluasi"))</f>
        <v/>
      </c>
    </row>
    <row r="233" ht="15.75" customHeight="1">
      <c r="A233" s="23" t="str">
        <f t="shared" si="2"/>
        <v/>
      </c>
      <c r="B233" s="33"/>
      <c r="C233" s="23" t="str">
        <f t="shared" si="3"/>
        <v/>
      </c>
      <c r="D233" s="31"/>
      <c r="E233" s="31"/>
      <c r="F233" s="31"/>
      <c r="G233" s="31"/>
      <c r="H233" s="31"/>
      <c r="I233" s="32"/>
      <c r="J233" s="30"/>
      <c r="K233" s="30"/>
      <c r="L233" s="28" t="str">
        <f t="shared" si="4"/>
        <v/>
      </c>
      <c r="M233" s="28" t="str">
        <f t="shared" si="5"/>
        <v/>
      </c>
      <c r="N233" s="23" t="str">
        <f>IF(M233="","",IF(M233&gt;=Panduan!$B$4,"Terserap","Perlu Evaluasi"))</f>
        <v/>
      </c>
      <c r="O233" s="30"/>
      <c r="P233" s="30"/>
      <c r="Q233" s="28" t="str">
        <f t="shared" si="6"/>
        <v/>
      </c>
      <c r="R233" s="28" t="str">
        <f t="shared" si="7"/>
        <v/>
      </c>
      <c r="S233" s="23" t="str">
        <f>IF(R233="","",IF(R233&gt;=Panduan!$B$4,"Terserap","Perlu Evaluasi"))</f>
        <v/>
      </c>
      <c r="T233" s="30"/>
      <c r="U233" s="30"/>
      <c r="V233" s="28" t="str">
        <f t="shared" si="8"/>
        <v/>
      </c>
      <c r="W233" s="28" t="str">
        <f t="shared" si="9"/>
        <v/>
      </c>
      <c r="X233" s="23" t="str">
        <f>IF(W233="","",IF(W233&gt;=Panduan!$B$4,"Terserap","Perlu Evaluasi"))</f>
        <v/>
      </c>
      <c r="Y233" s="30"/>
      <c r="Z233" s="30"/>
      <c r="AA233" s="28" t="str">
        <f t="shared" si="10"/>
        <v/>
      </c>
      <c r="AB233" s="28" t="str">
        <f t="shared" si="11"/>
        <v/>
      </c>
      <c r="AC233" s="23" t="str">
        <f>IF(AB233="","",IF(AB233&gt;=Panduan!$B$4,"Terserap","Perlu Evaluasi"))</f>
        <v/>
      </c>
      <c r="AD233" s="30"/>
      <c r="AE233" s="30"/>
      <c r="AF233" s="28" t="str">
        <f t="shared" si="12"/>
        <v/>
      </c>
      <c r="AG233" s="28" t="str">
        <f t="shared" si="13"/>
        <v/>
      </c>
      <c r="AH233" s="23" t="str">
        <f>IF(AG233="","",IF(AG233&gt;=Panduan!$B$4,"Terserap","Perlu Evaluasi"))</f>
        <v/>
      </c>
      <c r="AI233" s="29" t="str">
        <f t="shared" ref="AI233:AJ233" si="242">IF(COUNTA(J233,O233,T233,Y233,AD233)=0,"",SUM(J233,O233,T233,Y233,AD233))</f>
        <v/>
      </c>
      <c r="AJ233" s="29" t="str">
        <f t="shared" si="242"/>
        <v/>
      </c>
      <c r="AK233" s="28" t="str">
        <f t="shared" si="15"/>
        <v/>
      </c>
      <c r="AL233" s="28" t="str">
        <f t="shared" si="16"/>
        <v/>
      </c>
      <c r="AM233" s="23" t="str">
        <f>IF(AL233="","",IF(AL233&gt;=Panduan!$B$4,"Terserap","Perlu Evaluasi"))</f>
        <v/>
      </c>
    </row>
    <row r="234" ht="15.75" customHeight="1">
      <c r="A234" s="23" t="str">
        <f t="shared" si="2"/>
        <v/>
      </c>
      <c r="B234" s="33"/>
      <c r="C234" s="23" t="str">
        <f t="shared" si="3"/>
        <v/>
      </c>
      <c r="D234" s="31"/>
      <c r="E234" s="31"/>
      <c r="F234" s="31"/>
      <c r="G234" s="31"/>
      <c r="H234" s="31"/>
      <c r="I234" s="32"/>
      <c r="J234" s="30"/>
      <c r="K234" s="30"/>
      <c r="L234" s="28" t="str">
        <f t="shared" si="4"/>
        <v/>
      </c>
      <c r="M234" s="28" t="str">
        <f t="shared" si="5"/>
        <v/>
      </c>
      <c r="N234" s="23" t="str">
        <f>IF(M234="","",IF(M234&gt;=Panduan!$B$4,"Terserap","Perlu Evaluasi"))</f>
        <v/>
      </c>
      <c r="O234" s="30"/>
      <c r="P234" s="30"/>
      <c r="Q234" s="28" t="str">
        <f t="shared" si="6"/>
        <v/>
      </c>
      <c r="R234" s="28" t="str">
        <f t="shared" si="7"/>
        <v/>
      </c>
      <c r="S234" s="23" t="str">
        <f>IF(R234="","",IF(R234&gt;=Panduan!$B$4,"Terserap","Perlu Evaluasi"))</f>
        <v/>
      </c>
      <c r="T234" s="30"/>
      <c r="U234" s="30"/>
      <c r="V234" s="28" t="str">
        <f t="shared" si="8"/>
        <v/>
      </c>
      <c r="W234" s="28" t="str">
        <f t="shared" si="9"/>
        <v/>
      </c>
      <c r="X234" s="23" t="str">
        <f>IF(W234="","",IF(W234&gt;=Panduan!$B$4,"Terserap","Perlu Evaluasi"))</f>
        <v/>
      </c>
      <c r="Y234" s="30"/>
      <c r="Z234" s="30"/>
      <c r="AA234" s="28" t="str">
        <f t="shared" si="10"/>
        <v/>
      </c>
      <c r="AB234" s="28" t="str">
        <f t="shared" si="11"/>
        <v/>
      </c>
      <c r="AC234" s="23" t="str">
        <f>IF(AB234="","",IF(AB234&gt;=Panduan!$B$4,"Terserap","Perlu Evaluasi"))</f>
        <v/>
      </c>
      <c r="AD234" s="30"/>
      <c r="AE234" s="30"/>
      <c r="AF234" s="28" t="str">
        <f t="shared" si="12"/>
        <v/>
      </c>
      <c r="AG234" s="28" t="str">
        <f t="shared" si="13"/>
        <v/>
      </c>
      <c r="AH234" s="23" t="str">
        <f>IF(AG234="","",IF(AG234&gt;=Panduan!$B$4,"Terserap","Perlu Evaluasi"))</f>
        <v/>
      </c>
      <c r="AI234" s="29" t="str">
        <f t="shared" ref="AI234:AJ234" si="243">IF(COUNTA(J234,O234,T234,Y234,AD234)=0,"",SUM(J234,O234,T234,Y234,AD234))</f>
        <v/>
      </c>
      <c r="AJ234" s="29" t="str">
        <f t="shared" si="243"/>
        <v/>
      </c>
      <c r="AK234" s="28" t="str">
        <f t="shared" si="15"/>
        <v/>
      </c>
      <c r="AL234" s="28" t="str">
        <f t="shared" si="16"/>
        <v/>
      </c>
      <c r="AM234" s="23" t="str">
        <f>IF(AL234="","",IF(AL234&gt;=Panduan!$B$4,"Terserap","Perlu Evaluasi"))</f>
        <v/>
      </c>
    </row>
    <row r="235" ht="15.75" customHeight="1">
      <c r="A235" s="23" t="str">
        <f t="shared" si="2"/>
        <v/>
      </c>
      <c r="B235" s="33"/>
      <c r="C235" s="23" t="str">
        <f t="shared" si="3"/>
        <v/>
      </c>
      <c r="D235" s="31"/>
      <c r="E235" s="31"/>
      <c r="F235" s="31"/>
      <c r="G235" s="31"/>
      <c r="H235" s="31"/>
      <c r="I235" s="32"/>
      <c r="J235" s="30"/>
      <c r="K235" s="30"/>
      <c r="L235" s="28" t="str">
        <f t="shared" si="4"/>
        <v/>
      </c>
      <c r="M235" s="28" t="str">
        <f t="shared" si="5"/>
        <v/>
      </c>
      <c r="N235" s="23" t="str">
        <f>IF(M235="","",IF(M235&gt;=Panduan!$B$4,"Terserap","Perlu Evaluasi"))</f>
        <v/>
      </c>
      <c r="O235" s="30"/>
      <c r="P235" s="30"/>
      <c r="Q235" s="28" t="str">
        <f t="shared" si="6"/>
        <v/>
      </c>
      <c r="R235" s="28" t="str">
        <f t="shared" si="7"/>
        <v/>
      </c>
      <c r="S235" s="23" t="str">
        <f>IF(R235="","",IF(R235&gt;=Panduan!$B$4,"Terserap","Perlu Evaluasi"))</f>
        <v/>
      </c>
      <c r="T235" s="30"/>
      <c r="U235" s="30"/>
      <c r="V235" s="28" t="str">
        <f t="shared" si="8"/>
        <v/>
      </c>
      <c r="W235" s="28" t="str">
        <f t="shared" si="9"/>
        <v/>
      </c>
      <c r="X235" s="23" t="str">
        <f>IF(W235="","",IF(W235&gt;=Panduan!$B$4,"Terserap","Perlu Evaluasi"))</f>
        <v/>
      </c>
      <c r="Y235" s="30"/>
      <c r="Z235" s="30"/>
      <c r="AA235" s="28" t="str">
        <f t="shared" si="10"/>
        <v/>
      </c>
      <c r="AB235" s="28" t="str">
        <f t="shared" si="11"/>
        <v/>
      </c>
      <c r="AC235" s="23" t="str">
        <f>IF(AB235="","",IF(AB235&gt;=Panduan!$B$4,"Terserap","Perlu Evaluasi"))</f>
        <v/>
      </c>
      <c r="AD235" s="30"/>
      <c r="AE235" s="30"/>
      <c r="AF235" s="28" t="str">
        <f t="shared" si="12"/>
        <v/>
      </c>
      <c r="AG235" s="28" t="str">
        <f t="shared" si="13"/>
        <v/>
      </c>
      <c r="AH235" s="23" t="str">
        <f>IF(AG235="","",IF(AG235&gt;=Panduan!$B$4,"Terserap","Perlu Evaluasi"))</f>
        <v/>
      </c>
      <c r="AI235" s="29" t="str">
        <f t="shared" ref="AI235:AJ235" si="244">IF(COUNTA(J235,O235,T235,Y235,AD235)=0,"",SUM(J235,O235,T235,Y235,AD235))</f>
        <v/>
      </c>
      <c r="AJ235" s="29" t="str">
        <f t="shared" si="244"/>
        <v/>
      </c>
      <c r="AK235" s="28" t="str">
        <f t="shared" si="15"/>
        <v/>
      </c>
      <c r="AL235" s="28" t="str">
        <f t="shared" si="16"/>
        <v/>
      </c>
      <c r="AM235" s="23" t="str">
        <f>IF(AL235="","",IF(AL235&gt;=Panduan!$B$4,"Terserap","Perlu Evaluasi"))</f>
        <v/>
      </c>
    </row>
    <row r="236" ht="15.75" customHeight="1">
      <c r="A236" s="23" t="str">
        <f t="shared" si="2"/>
        <v/>
      </c>
      <c r="B236" s="33"/>
      <c r="C236" s="23" t="str">
        <f t="shared" si="3"/>
        <v/>
      </c>
      <c r="D236" s="31"/>
      <c r="E236" s="31"/>
      <c r="F236" s="31"/>
      <c r="G236" s="31"/>
      <c r="H236" s="31"/>
      <c r="I236" s="32"/>
      <c r="J236" s="30"/>
      <c r="K236" s="30"/>
      <c r="L236" s="28" t="str">
        <f t="shared" si="4"/>
        <v/>
      </c>
      <c r="M236" s="28" t="str">
        <f t="shared" si="5"/>
        <v/>
      </c>
      <c r="N236" s="23" t="str">
        <f>IF(M236="","",IF(M236&gt;=Panduan!$B$4,"Terserap","Perlu Evaluasi"))</f>
        <v/>
      </c>
      <c r="O236" s="30"/>
      <c r="P236" s="30"/>
      <c r="Q236" s="28" t="str">
        <f t="shared" si="6"/>
        <v/>
      </c>
      <c r="R236" s="28" t="str">
        <f t="shared" si="7"/>
        <v/>
      </c>
      <c r="S236" s="23" t="str">
        <f>IF(R236="","",IF(R236&gt;=Panduan!$B$4,"Terserap","Perlu Evaluasi"))</f>
        <v/>
      </c>
      <c r="T236" s="30"/>
      <c r="U236" s="30"/>
      <c r="V236" s="28" t="str">
        <f t="shared" si="8"/>
        <v/>
      </c>
      <c r="W236" s="28" t="str">
        <f t="shared" si="9"/>
        <v/>
      </c>
      <c r="X236" s="23" t="str">
        <f>IF(W236="","",IF(W236&gt;=Panduan!$B$4,"Terserap","Perlu Evaluasi"))</f>
        <v/>
      </c>
      <c r="Y236" s="30"/>
      <c r="Z236" s="30"/>
      <c r="AA236" s="28" t="str">
        <f t="shared" si="10"/>
        <v/>
      </c>
      <c r="AB236" s="28" t="str">
        <f t="shared" si="11"/>
        <v/>
      </c>
      <c r="AC236" s="23" t="str">
        <f>IF(AB236="","",IF(AB236&gt;=Panduan!$B$4,"Terserap","Perlu Evaluasi"))</f>
        <v/>
      </c>
      <c r="AD236" s="30"/>
      <c r="AE236" s="30"/>
      <c r="AF236" s="28" t="str">
        <f t="shared" si="12"/>
        <v/>
      </c>
      <c r="AG236" s="28" t="str">
        <f t="shared" si="13"/>
        <v/>
      </c>
      <c r="AH236" s="23" t="str">
        <f>IF(AG236="","",IF(AG236&gt;=Panduan!$B$4,"Terserap","Perlu Evaluasi"))</f>
        <v/>
      </c>
      <c r="AI236" s="29" t="str">
        <f t="shared" ref="AI236:AJ236" si="245">IF(COUNTA(J236,O236,T236,Y236,AD236)=0,"",SUM(J236,O236,T236,Y236,AD236))</f>
        <v/>
      </c>
      <c r="AJ236" s="29" t="str">
        <f t="shared" si="245"/>
        <v/>
      </c>
      <c r="AK236" s="28" t="str">
        <f t="shared" si="15"/>
        <v/>
      </c>
      <c r="AL236" s="28" t="str">
        <f t="shared" si="16"/>
        <v/>
      </c>
      <c r="AM236" s="23" t="str">
        <f>IF(AL236="","",IF(AL236&gt;=Panduan!$B$4,"Terserap","Perlu Evaluasi"))</f>
        <v/>
      </c>
    </row>
    <row r="237" ht="15.75" customHeight="1">
      <c r="A237" s="23" t="str">
        <f t="shared" si="2"/>
        <v/>
      </c>
      <c r="B237" s="33"/>
      <c r="C237" s="23" t="str">
        <f t="shared" si="3"/>
        <v/>
      </c>
      <c r="D237" s="31"/>
      <c r="E237" s="31"/>
      <c r="F237" s="31"/>
      <c r="G237" s="31"/>
      <c r="H237" s="31"/>
      <c r="I237" s="32"/>
      <c r="J237" s="30"/>
      <c r="K237" s="30"/>
      <c r="L237" s="28" t="str">
        <f t="shared" si="4"/>
        <v/>
      </c>
      <c r="M237" s="28" t="str">
        <f t="shared" si="5"/>
        <v/>
      </c>
      <c r="N237" s="23" t="str">
        <f>IF(M237="","",IF(M237&gt;=Panduan!$B$4,"Terserap","Perlu Evaluasi"))</f>
        <v/>
      </c>
      <c r="O237" s="30"/>
      <c r="P237" s="30"/>
      <c r="Q237" s="28" t="str">
        <f t="shared" si="6"/>
        <v/>
      </c>
      <c r="R237" s="28" t="str">
        <f t="shared" si="7"/>
        <v/>
      </c>
      <c r="S237" s="23" t="str">
        <f>IF(R237="","",IF(R237&gt;=Panduan!$B$4,"Terserap","Perlu Evaluasi"))</f>
        <v/>
      </c>
      <c r="T237" s="30"/>
      <c r="U237" s="30"/>
      <c r="V237" s="28" t="str">
        <f t="shared" si="8"/>
        <v/>
      </c>
      <c r="W237" s="28" t="str">
        <f t="shared" si="9"/>
        <v/>
      </c>
      <c r="X237" s="23" t="str">
        <f>IF(W237="","",IF(W237&gt;=Panduan!$B$4,"Terserap","Perlu Evaluasi"))</f>
        <v/>
      </c>
      <c r="Y237" s="30"/>
      <c r="Z237" s="30"/>
      <c r="AA237" s="28" t="str">
        <f t="shared" si="10"/>
        <v/>
      </c>
      <c r="AB237" s="28" t="str">
        <f t="shared" si="11"/>
        <v/>
      </c>
      <c r="AC237" s="23" t="str">
        <f>IF(AB237="","",IF(AB237&gt;=Panduan!$B$4,"Terserap","Perlu Evaluasi"))</f>
        <v/>
      </c>
      <c r="AD237" s="30"/>
      <c r="AE237" s="30"/>
      <c r="AF237" s="28" t="str">
        <f t="shared" si="12"/>
        <v/>
      </c>
      <c r="AG237" s="28" t="str">
        <f t="shared" si="13"/>
        <v/>
      </c>
      <c r="AH237" s="23" t="str">
        <f>IF(AG237="","",IF(AG237&gt;=Panduan!$B$4,"Terserap","Perlu Evaluasi"))</f>
        <v/>
      </c>
      <c r="AI237" s="29" t="str">
        <f t="shared" ref="AI237:AJ237" si="246">IF(COUNTA(J237,O237,T237,Y237,AD237)=0,"",SUM(J237,O237,T237,Y237,AD237))</f>
        <v/>
      </c>
      <c r="AJ237" s="29" t="str">
        <f t="shared" si="246"/>
        <v/>
      </c>
      <c r="AK237" s="28" t="str">
        <f t="shared" si="15"/>
        <v/>
      </c>
      <c r="AL237" s="28" t="str">
        <f t="shared" si="16"/>
        <v/>
      </c>
      <c r="AM237" s="23" t="str">
        <f>IF(AL237="","",IF(AL237&gt;=Panduan!$B$4,"Terserap","Perlu Evaluasi"))</f>
        <v/>
      </c>
    </row>
    <row r="238" ht="15.75" customHeight="1">
      <c r="A238" s="23" t="str">
        <f t="shared" si="2"/>
        <v/>
      </c>
      <c r="B238" s="33"/>
      <c r="C238" s="23" t="str">
        <f t="shared" si="3"/>
        <v/>
      </c>
      <c r="D238" s="31"/>
      <c r="E238" s="31"/>
      <c r="F238" s="31"/>
      <c r="G238" s="31"/>
      <c r="H238" s="31"/>
      <c r="I238" s="32"/>
      <c r="J238" s="30"/>
      <c r="K238" s="30"/>
      <c r="L238" s="28" t="str">
        <f t="shared" si="4"/>
        <v/>
      </c>
      <c r="M238" s="28" t="str">
        <f t="shared" si="5"/>
        <v/>
      </c>
      <c r="N238" s="23" t="str">
        <f>IF(M238="","",IF(M238&gt;=Panduan!$B$4,"Terserap","Perlu Evaluasi"))</f>
        <v/>
      </c>
      <c r="O238" s="30"/>
      <c r="P238" s="30"/>
      <c r="Q238" s="28" t="str">
        <f t="shared" si="6"/>
        <v/>
      </c>
      <c r="R238" s="28" t="str">
        <f t="shared" si="7"/>
        <v/>
      </c>
      <c r="S238" s="23" t="str">
        <f>IF(R238="","",IF(R238&gt;=Panduan!$B$4,"Terserap","Perlu Evaluasi"))</f>
        <v/>
      </c>
      <c r="T238" s="30"/>
      <c r="U238" s="30"/>
      <c r="V238" s="28" t="str">
        <f t="shared" si="8"/>
        <v/>
      </c>
      <c r="W238" s="28" t="str">
        <f t="shared" si="9"/>
        <v/>
      </c>
      <c r="X238" s="23" t="str">
        <f>IF(W238="","",IF(W238&gt;=Panduan!$B$4,"Terserap","Perlu Evaluasi"))</f>
        <v/>
      </c>
      <c r="Y238" s="30"/>
      <c r="Z238" s="30"/>
      <c r="AA238" s="28" t="str">
        <f t="shared" si="10"/>
        <v/>
      </c>
      <c r="AB238" s="28" t="str">
        <f t="shared" si="11"/>
        <v/>
      </c>
      <c r="AC238" s="23" t="str">
        <f>IF(AB238="","",IF(AB238&gt;=Panduan!$B$4,"Terserap","Perlu Evaluasi"))</f>
        <v/>
      </c>
      <c r="AD238" s="30"/>
      <c r="AE238" s="30"/>
      <c r="AF238" s="28" t="str">
        <f t="shared" si="12"/>
        <v/>
      </c>
      <c r="AG238" s="28" t="str">
        <f t="shared" si="13"/>
        <v/>
      </c>
      <c r="AH238" s="23" t="str">
        <f>IF(AG238="","",IF(AG238&gt;=Panduan!$B$4,"Terserap","Perlu Evaluasi"))</f>
        <v/>
      </c>
      <c r="AI238" s="29" t="str">
        <f t="shared" ref="AI238:AJ238" si="247">IF(COUNTA(J238,O238,T238,Y238,AD238)=0,"",SUM(J238,O238,T238,Y238,AD238))</f>
        <v/>
      </c>
      <c r="AJ238" s="29" t="str">
        <f t="shared" si="247"/>
        <v/>
      </c>
      <c r="AK238" s="28" t="str">
        <f t="shared" si="15"/>
        <v/>
      </c>
      <c r="AL238" s="28" t="str">
        <f t="shared" si="16"/>
        <v/>
      </c>
      <c r="AM238" s="23" t="str">
        <f>IF(AL238="","",IF(AL238&gt;=Panduan!$B$4,"Terserap","Perlu Evaluasi"))</f>
        <v/>
      </c>
    </row>
    <row r="239" ht="15.75" customHeight="1">
      <c r="A239" s="23" t="str">
        <f t="shared" si="2"/>
        <v/>
      </c>
      <c r="B239" s="33"/>
      <c r="C239" s="23" t="str">
        <f t="shared" si="3"/>
        <v/>
      </c>
      <c r="D239" s="31"/>
      <c r="E239" s="31"/>
      <c r="F239" s="31"/>
      <c r="G239" s="31"/>
      <c r="H239" s="31"/>
      <c r="I239" s="32"/>
      <c r="J239" s="30"/>
      <c r="K239" s="30"/>
      <c r="L239" s="28" t="str">
        <f t="shared" si="4"/>
        <v/>
      </c>
      <c r="M239" s="28" t="str">
        <f t="shared" si="5"/>
        <v/>
      </c>
      <c r="N239" s="23" t="str">
        <f>IF(M239="","",IF(M239&gt;=Panduan!$B$4,"Terserap","Perlu Evaluasi"))</f>
        <v/>
      </c>
      <c r="O239" s="30"/>
      <c r="P239" s="30"/>
      <c r="Q239" s="28" t="str">
        <f t="shared" si="6"/>
        <v/>
      </c>
      <c r="R239" s="28" t="str">
        <f t="shared" si="7"/>
        <v/>
      </c>
      <c r="S239" s="23" t="str">
        <f>IF(R239="","",IF(R239&gt;=Panduan!$B$4,"Terserap","Perlu Evaluasi"))</f>
        <v/>
      </c>
      <c r="T239" s="30"/>
      <c r="U239" s="30"/>
      <c r="V239" s="28" t="str">
        <f t="shared" si="8"/>
        <v/>
      </c>
      <c r="W239" s="28" t="str">
        <f t="shared" si="9"/>
        <v/>
      </c>
      <c r="X239" s="23" t="str">
        <f>IF(W239="","",IF(W239&gt;=Panduan!$B$4,"Terserap","Perlu Evaluasi"))</f>
        <v/>
      </c>
      <c r="Y239" s="30"/>
      <c r="Z239" s="30"/>
      <c r="AA239" s="28" t="str">
        <f t="shared" si="10"/>
        <v/>
      </c>
      <c r="AB239" s="28" t="str">
        <f t="shared" si="11"/>
        <v/>
      </c>
      <c r="AC239" s="23" t="str">
        <f>IF(AB239="","",IF(AB239&gt;=Panduan!$B$4,"Terserap","Perlu Evaluasi"))</f>
        <v/>
      </c>
      <c r="AD239" s="30"/>
      <c r="AE239" s="30"/>
      <c r="AF239" s="28" t="str">
        <f t="shared" si="12"/>
        <v/>
      </c>
      <c r="AG239" s="28" t="str">
        <f t="shared" si="13"/>
        <v/>
      </c>
      <c r="AH239" s="23" t="str">
        <f>IF(AG239="","",IF(AG239&gt;=Panduan!$B$4,"Terserap","Perlu Evaluasi"))</f>
        <v/>
      </c>
      <c r="AI239" s="29" t="str">
        <f t="shared" ref="AI239:AJ239" si="248">IF(COUNTA(J239,O239,T239,Y239,AD239)=0,"",SUM(J239,O239,T239,Y239,AD239))</f>
        <v/>
      </c>
      <c r="AJ239" s="29" t="str">
        <f t="shared" si="248"/>
        <v/>
      </c>
      <c r="AK239" s="28" t="str">
        <f t="shared" si="15"/>
        <v/>
      </c>
      <c r="AL239" s="28" t="str">
        <f t="shared" si="16"/>
        <v/>
      </c>
      <c r="AM239" s="23" t="str">
        <f>IF(AL239="","",IF(AL239&gt;=Panduan!$B$4,"Terserap","Perlu Evaluasi"))</f>
        <v/>
      </c>
    </row>
    <row r="240" ht="15.75" customHeight="1">
      <c r="A240" s="23" t="str">
        <f t="shared" si="2"/>
        <v/>
      </c>
      <c r="B240" s="33"/>
      <c r="C240" s="23" t="str">
        <f t="shared" si="3"/>
        <v/>
      </c>
      <c r="D240" s="31"/>
      <c r="E240" s="31"/>
      <c r="F240" s="31"/>
      <c r="G240" s="31"/>
      <c r="H240" s="31"/>
      <c r="I240" s="32"/>
      <c r="J240" s="30"/>
      <c r="K240" s="30"/>
      <c r="L240" s="28" t="str">
        <f t="shared" si="4"/>
        <v/>
      </c>
      <c r="M240" s="28" t="str">
        <f t="shared" si="5"/>
        <v/>
      </c>
      <c r="N240" s="23" t="str">
        <f>IF(M240="","",IF(M240&gt;=Panduan!$B$4,"Terserap","Perlu Evaluasi"))</f>
        <v/>
      </c>
      <c r="O240" s="30"/>
      <c r="P240" s="30"/>
      <c r="Q240" s="28" t="str">
        <f t="shared" si="6"/>
        <v/>
      </c>
      <c r="R240" s="28" t="str">
        <f t="shared" si="7"/>
        <v/>
      </c>
      <c r="S240" s="23" t="str">
        <f>IF(R240="","",IF(R240&gt;=Panduan!$B$4,"Terserap","Perlu Evaluasi"))</f>
        <v/>
      </c>
      <c r="T240" s="30"/>
      <c r="U240" s="30"/>
      <c r="V240" s="28" t="str">
        <f t="shared" si="8"/>
        <v/>
      </c>
      <c r="W240" s="28" t="str">
        <f t="shared" si="9"/>
        <v/>
      </c>
      <c r="X240" s="23" t="str">
        <f>IF(W240="","",IF(W240&gt;=Panduan!$B$4,"Terserap","Perlu Evaluasi"))</f>
        <v/>
      </c>
      <c r="Y240" s="30"/>
      <c r="Z240" s="30"/>
      <c r="AA240" s="28" t="str">
        <f t="shared" si="10"/>
        <v/>
      </c>
      <c r="AB240" s="28" t="str">
        <f t="shared" si="11"/>
        <v/>
      </c>
      <c r="AC240" s="23" t="str">
        <f>IF(AB240="","",IF(AB240&gt;=Panduan!$B$4,"Terserap","Perlu Evaluasi"))</f>
        <v/>
      </c>
      <c r="AD240" s="30"/>
      <c r="AE240" s="30"/>
      <c r="AF240" s="28" t="str">
        <f t="shared" si="12"/>
        <v/>
      </c>
      <c r="AG240" s="28" t="str">
        <f t="shared" si="13"/>
        <v/>
      </c>
      <c r="AH240" s="23" t="str">
        <f>IF(AG240="","",IF(AG240&gt;=Panduan!$B$4,"Terserap","Perlu Evaluasi"))</f>
        <v/>
      </c>
      <c r="AI240" s="29" t="str">
        <f t="shared" ref="AI240:AJ240" si="249">IF(COUNTA(J240,O240,T240,Y240,AD240)=0,"",SUM(J240,O240,T240,Y240,AD240))</f>
        <v/>
      </c>
      <c r="AJ240" s="29" t="str">
        <f t="shared" si="249"/>
        <v/>
      </c>
      <c r="AK240" s="28" t="str">
        <f t="shared" si="15"/>
        <v/>
      </c>
      <c r="AL240" s="28" t="str">
        <f t="shared" si="16"/>
        <v/>
      </c>
      <c r="AM240" s="23" t="str">
        <f>IF(AL240="","",IF(AL240&gt;=Panduan!$B$4,"Terserap","Perlu Evaluasi"))</f>
        <v/>
      </c>
    </row>
    <row r="241" ht="15.75" customHeight="1">
      <c r="A241" s="23" t="str">
        <f t="shared" si="2"/>
        <v/>
      </c>
      <c r="B241" s="33"/>
      <c r="C241" s="23" t="str">
        <f t="shared" si="3"/>
        <v/>
      </c>
      <c r="D241" s="31"/>
      <c r="E241" s="31"/>
      <c r="F241" s="31"/>
      <c r="G241" s="31"/>
      <c r="H241" s="31"/>
      <c r="I241" s="32"/>
      <c r="J241" s="30"/>
      <c r="K241" s="30"/>
      <c r="L241" s="28" t="str">
        <f t="shared" si="4"/>
        <v/>
      </c>
      <c r="M241" s="28" t="str">
        <f t="shared" si="5"/>
        <v/>
      </c>
      <c r="N241" s="23" t="str">
        <f>IF(M241="","",IF(M241&gt;=Panduan!$B$4,"Terserap","Perlu Evaluasi"))</f>
        <v/>
      </c>
      <c r="O241" s="30"/>
      <c r="P241" s="30"/>
      <c r="Q241" s="28" t="str">
        <f t="shared" si="6"/>
        <v/>
      </c>
      <c r="R241" s="28" t="str">
        <f t="shared" si="7"/>
        <v/>
      </c>
      <c r="S241" s="23" t="str">
        <f>IF(R241="","",IF(R241&gt;=Panduan!$B$4,"Terserap","Perlu Evaluasi"))</f>
        <v/>
      </c>
      <c r="T241" s="30"/>
      <c r="U241" s="30"/>
      <c r="V241" s="28" t="str">
        <f t="shared" si="8"/>
        <v/>
      </c>
      <c r="W241" s="28" t="str">
        <f t="shared" si="9"/>
        <v/>
      </c>
      <c r="X241" s="23" t="str">
        <f>IF(W241="","",IF(W241&gt;=Panduan!$B$4,"Terserap","Perlu Evaluasi"))</f>
        <v/>
      </c>
      <c r="Y241" s="30"/>
      <c r="Z241" s="30"/>
      <c r="AA241" s="28" t="str">
        <f t="shared" si="10"/>
        <v/>
      </c>
      <c r="AB241" s="28" t="str">
        <f t="shared" si="11"/>
        <v/>
      </c>
      <c r="AC241" s="23" t="str">
        <f>IF(AB241="","",IF(AB241&gt;=Panduan!$B$4,"Terserap","Perlu Evaluasi"))</f>
        <v/>
      </c>
      <c r="AD241" s="30"/>
      <c r="AE241" s="30"/>
      <c r="AF241" s="28" t="str">
        <f t="shared" si="12"/>
        <v/>
      </c>
      <c r="AG241" s="28" t="str">
        <f t="shared" si="13"/>
        <v/>
      </c>
      <c r="AH241" s="23" t="str">
        <f>IF(AG241="","",IF(AG241&gt;=Panduan!$B$4,"Terserap","Perlu Evaluasi"))</f>
        <v/>
      </c>
      <c r="AI241" s="29" t="str">
        <f t="shared" ref="AI241:AJ241" si="250">IF(COUNTA(J241,O241,T241,Y241,AD241)=0,"",SUM(J241,O241,T241,Y241,AD241))</f>
        <v/>
      </c>
      <c r="AJ241" s="29" t="str">
        <f t="shared" si="250"/>
        <v/>
      </c>
      <c r="AK241" s="28" t="str">
        <f t="shared" si="15"/>
        <v/>
      </c>
      <c r="AL241" s="28" t="str">
        <f t="shared" si="16"/>
        <v/>
      </c>
      <c r="AM241" s="23" t="str">
        <f>IF(AL241="","",IF(AL241&gt;=Panduan!$B$4,"Terserap","Perlu Evaluasi"))</f>
        <v/>
      </c>
    </row>
    <row r="242" ht="15.75" customHeight="1">
      <c r="A242" s="23" t="str">
        <f t="shared" si="2"/>
        <v/>
      </c>
      <c r="B242" s="33"/>
      <c r="C242" s="23" t="str">
        <f t="shared" si="3"/>
        <v/>
      </c>
      <c r="D242" s="31"/>
      <c r="E242" s="31"/>
      <c r="F242" s="31"/>
      <c r="G242" s="31"/>
      <c r="H242" s="31"/>
      <c r="I242" s="32"/>
      <c r="J242" s="30"/>
      <c r="K242" s="30"/>
      <c r="L242" s="28" t="str">
        <f t="shared" si="4"/>
        <v/>
      </c>
      <c r="M242" s="28" t="str">
        <f t="shared" si="5"/>
        <v/>
      </c>
      <c r="N242" s="23" t="str">
        <f>IF(M242="","",IF(M242&gt;=Panduan!$B$4,"Terserap","Perlu Evaluasi"))</f>
        <v/>
      </c>
      <c r="O242" s="30"/>
      <c r="P242" s="30"/>
      <c r="Q242" s="28" t="str">
        <f t="shared" si="6"/>
        <v/>
      </c>
      <c r="R242" s="28" t="str">
        <f t="shared" si="7"/>
        <v/>
      </c>
      <c r="S242" s="23" t="str">
        <f>IF(R242="","",IF(R242&gt;=Panduan!$B$4,"Terserap","Perlu Evaluasi"))</f>
        <v/>
      </c>
      <c r="T242" s="30"/>
      <c r="U242" s="30"/>
      <c r="V242" s="28" t="str">
        <f t="shared" si="8"/>
        <v/>
      </c>
      <c r="W242" s="28" t="str">
        <f t="shared" si="9"/>
        <v/>
      </c>
      <c r="X242" s="23" t="str">
        <f>IF(W242="","",IF(W242&gt;=Panduan!$B$4,"Terserap","Perlu Evaluasi"))</f>
        <v/>
      </c>
      <c r="Y242" s="30"/>
      <c r="Z242" s="30"/>
      <c r="AA242" s="28" t="str">
        <f t="shared" si="10"/>
        <v/>
      </c>
      <c r="AB242" s="28" t="str">
        <f t="shared" si="11"/>
        <v/>
      </c>
      <c r="AC242" s="23" t="str">
        <f>IF(AB242="","",IF(AB242&gt;=Panduan!$B$4,"Terserap","Perlu Evaluasi"))</f>
        <v/>
      </c>
      <c r="AD242" s="30"/>
      <c r="AE242" s="30"/>
      <c r="AF242" s="28" t="str">
        <f t="shared" si="12"/>
        <v/>
      </c>
      <c r="AG242" s="28" t="str">
        <f t="shared" si="13"/>
        <v/>
      </c>
      <c r="AH242" s="23" t="str">
        <f>IF(AG242="","",IF(AG242&gt;=Panduan!$B$4,"Terserap","Perlu Evaluasi"))</f>
        <v/>
      </c>
      <c r="AI242" s="29" t="str">
        <f t="shared" ref="AI242:AJ242" si="251">IF(COUNTA(J242,O242,T242,Y242,AD242)=0,"",SUM(J242,O242,T242,Y242,AD242))</f>
        <v/>
      </c>
      <c r="AJ242" s="29" t="str">
        <f t="shared" si="251"/>
        <v/>
      </c>
      <c r="AK242" s="28" t="str">
        <f t="shared" si="15"/>
        <v/>
      </c>
      <c r="AL242" s="28" t="str">
        <f t="shared" si="16"/>
        <v/>
      </c>
      <c r="AM242" s="23" t="str">
        <f>IF(AL242="","",IF(AL242&gt;=Panduan!$B$4,"Terserap","Perlu Evaluasi"))</f>
        <v/>
      </c>
    </row>
    <row r="243" ht="15.75" customHeight="1">
      <c r="A243" s="23" t="str">
        <f t="shared" si="2"/>
        <v/>
      </c>
      <c r="B243" s="33"/>
      <c r="C243" s="23" t="str">
        <f t="shared" si="3"/>
        <v/>
      </c>
      <c r="D243" s="31"/>
      <c r="E243" s="31"/>
      <c r="F243" s="31"/>
      <c r="G243" s="31"/>
      <c r="H243" s="31"/>
      <c r="I243" s="32"/>
      <c r="J243" s="30"/>
      <c r="K243" s="30"/>
      <c r="L243" s="28" t="str">
        <f t="shared" si="4"/>
        <v/>
      </c>
      <c r="M243" s="28" t="str">
        <f t="shared" si="5"/>
        <v/>
      </c>
      <c r="N243" s="23" t="str">
        <f>IF(M243="","",IF(M243&gt;=Panduan!$B$4,"Terserap","Perlu Evaluasi"))</f>
        <v/>
      </c>
      <c r="O243" s="30"/>
      <c r="P243" s="30"/>
      <c r="Q243" s="28" t="str">
        <f t="shared" si="6"/>
        <v/>
      </c>
      <c r="R243" s="28" t="str">
        <f t="shared" si="7"/>
        <v/>
      </c>
      <c r="S243" s="23" t="str">
        <f>IF(R243="","",IF(R243&gt;=Panduan!$B$4,"Terserap","Perlu Evaluasi"))</f>
        <v/>
      </c>
      <c r="T243" s="30"/>
      <c r="U243" s="30"/>
      <c r="V243" s="28" t="str">
        <f t="shared" si="8"/>
        <v/>
      </c>
      <c r="W243" s="28" t="str">
        <f t="shared" si="9"/>
        <v/>
      </c>
      <c r="X243" s="23" t="str">
        <f>IF(W243="","",IF(W243&gt;=Panduan!$B$4,"Terserap","Perlu Evaluasi"))</f>
        <v/>
      </c>
      <c r="Y243" s="30"/>
      <c r="Z243" s="30"/>
      <c r="AA243" s="28" t="str">
        <f t="shared" si="10"/>
        <v/>
      </c>
      <c r="AB243" s="28" t="str">
        <f t="shared" si="11"/>
        <v/>
      </c>
      <c r="AC243" s="23" t="str">
        <f>IF(AB243="","",IF(AB243&gt;=Panduan!$B$4,"Terserap","Perlu Evaluasi"))</f>
        <v/>
      </c>
      <c r="AD243" s="30"/>
      <c r="AE243" s="30"/>
      <c r="AF243" s="28" t="str">
        <f t="shared" si="12"/>
        <v/>
      </c>
      <c r="AG243" s="28" t="str">
        <f t="shared" si="13"/>
        <v/>
      </c>
      <c r="AH243" s="23" t="str">
        <f>IF(AG243="","",IF(AG243&gt;=Panduan!$B$4,"Terserap","Perlu Evaluasi"))</f>
        <v/>
      </c>
      <c r="AI243" s="29" t="str">
        <f t="shared" ref="AI243:AJ243" si="252">IF(COUNTA(J243,O243,T243,Y243,AD243)=0,"",SUM(J243,O243,T243,Y243,AD243))</f>
        <v/>
      </c>
      <c r="AJ243" s="29" t="str">
        <f t="shared" si="252"/>
        <v/>
      </c>
      <c r="AK243" s="28" t="str">
        <f t="shared" si="15"/>
        <v/>
      </c>
      <c r="AL243" s="28" t="str">
        <f t="shared" si="16"/>
        <v/>
      </c>
      <c r="AM243" s="23" t="str">
        <f>IF(AL243="","",IF(AL243&gt;=Panduan!$B$4,"Terserap","Perlu Evaluasi"))</f>
        <v/>
      </c>
    </row>
    <row r="244" ht="15.75" customHeight="1">
      <c r="A244" s="23" t="str">
        <f t="shared" si="2"/>
        <v/>
      </c>
      <c r="B244" s="33"/>
      <c r="C244" s="23" t="str">
        <f t="shared" si="3"/>
        <v/>
      </c>
      <c r="D244" s="31"/>
      <c r="E244" s="31"/>
      <c r="F244" s="31"/>
      <c r="G244" s="31"/>
      <c r="H244" s="31"/>
      <c r="I244" s="32"/>
      <c r="J244" s="30"/>
      <c r="K244" s="30"/>
      <c r="L244" s="28" t="str">
        <f t="shared" si="4"/>
        <v/>
      </c>
      <c r="M244" s="28" t="str">
        <f t="shared" si="5"/>
        <v/>
      </c>
      <c r="N244" s="23" t="str">
        <f>IF(M244="","",IF(M244&gt;=Panduan!$B$4,"Terserap","Perlu Evaluasi"))</f>
        <v/>
      </c>
      <c r="O244" s="30"/>
      <c r="P244" s="30"/>
      <c r="Q244" s="28" t="str">
        <f t="shared" si="6"/>
        <v/>
      </c>
      <c r="R244" s="28" t="str">
        <f t="shared" si="7"/>
        <v/>
      </c>
      <c r="S244" s="23" t="str">
        <f>IF(R244="","",IF(R244&gt;=Panduan!$B$4,"Terserap","Perlu Evaluasi"))</f>
        <v/>
      </c>
      <c r="T244" s="30"/>
      <c r="U244" s="30"/>
      <c r="V244" s="28" t="str">
        <f t="shared" si="8"/>
        <v/>
      </c>
      <c r="W244" s="28" t="str">
        <f t="shared" si="9"/>
        <v/>
      </c>
      <c r="X244" s="23" t="str">
        <f>IF(W244="","",IF(W244&gt;=Panduan!$B$4,"Terserap","Perlu Evaluasi"))</f>
        <v/>
      </c>
      <c r="Y244" s="30"/>
      <c r="Z244" s="30"/>
      <c r="AA244" s="28" t="str">
        <f t="shared" si="10"/>
        <v/>
      </c>
      <c r="AB244" s="28" t="str">
        <f t="shared" si="11"/>
        <v/>
      </c>
      <c r="AC244" s="23" t="str">
        <f>IF(AB244="","",IF(AB244&gt;=Panduan!$B$4,"Terserap","Perlu Evaluasi"))</f>
        <v/>
      </c>
      <c r="AD244" s="30"/>
      <c r="AE244" s="30"/>
      <c r="AF244" s="28" t="str">
        <f t="shared" si="12"/>
        <v/>
      </c>
      <c r="AG244" s="28" t="str">
        <f t="shared" si="13"/>
        <v/>
      </c>
      <c r="AH244" s="23" t="str">
        <f>IF(AG244="","",IF(AG244&gt;=Panduan!$B$4,"Terserap","Perlu Evaluasi"))</f>
        <v/>
      </c>
      <c r="AI244" s="29" t="str">
        <f t="shared" ref="AI244:AJ244" si="253">IF(COUNTA(J244,O244,T244,Y244,AD244)=0,"",SUM(J244,O244,T244,Y244,AD244))</f>
        <v/>
      </c>
      <c r="AJ244" s="29" t="str">
        <f t="shared" si="253"/>
        <v/>
      </c>
      <c r="AK244" s="28" t="str">
        <f t="shared" si="15"/>
        <v/>
      </c>
      <c r="AL244" s="28" t="str">
        <f t="shared" si="16"/>
        <v/>
      </c>
      <c r="AM244" s="23" t="str">
        <f>IF(AL244="","",IF(AL244&gt;=Panduan!$B$4,"Terserap","Perlu Evaluasi"))</f>
        <v/>
      </c>
    </row>
    <row r="245" ht="15.75" customHeight="1">
      <c r="A245" s="23" t="str">
        <f t="shared" si="2"/>
        <v/>
      </c>
      <c r="B245" s="33"/>
      <c r="C245" s="23" t="str">
        <f t="shared" si="3"/>
        <v/>
      </c>
      <c r="D245" s="31"/>
      <c r="E245" s="31"/>
      <c r="F245" s="31"/>
      <c r="G245" s="31"/>
      <c r="H245" s="31"/>
      <c r="I245" s="32"/>
      <c r="J245" s="30"/>
      <c r="K245" s="30"/>
      <c r="L245" s="28" t="str">
        <f t="shared" si="4"/>
        <v/>
      </c>
      <c r="M245" s="28" t="str">
        <f t="shared" si="5"/>
        <v/>
      </c>
      <c r="N245" s="23" t="str">
        <f>IF(M245="","",IF(M245&gt;=Panduan!$B$4,"Terserap","Perlu Evaluasi"))</f>
        <v/>
      </c>
      <c r="O245" s="30"/>
      <c r="P245" s="30"/>
      <c r="Q245" s="28" t="str">
        <f t="shared" si="6"/>
        <v/>
      </c>
      <c r="R245" s="28" t="str">
        <f t="shared" si="7"/>
        <v/>
      </c>
      <c r="S245" s="23" t="str">
        <f>IF(R245="","",IF(R245&gt;=Panduan!$B$4,"Terserap","Perlu Evaluasi"))</f>
        <v/>
      </c>
      <c r="T245" s="30"/>
      <c r="U245" s="30"/>
      <c r="V245" s="28" t="str">
        <f t="shared" si="8"/>
        <v/>
      </c>
      <c r="W245" s="28" t="str">
        <f t="shared" si="9"/>
        <v/>
      </c>
      <c r="X245" s="23" t="str">
        <f>IF(W245="","",IF(W245&gt;=Panduan!$B$4,"Terserap","Perlu Evaluasi"))</f>
        <v/>
      </c>
      <c r="Y245" s="30"/>
      <c r="Z245" s="30"/>
      <c r="AA245" s="28" t="str">
        <f t="shared" si="10"/>
        <v/>
      </c>
      <c r="AB245" s="28" t="str">
        <f t="shared" si="11"/>
        <v/>
      </c>
      <c r="AC245" s="23" t="str">
        <f>IF(AB245="","",IF(AB245&gt;=Panduan!$B$4,"Terserap","Perlu Evaluasi"))</f>
        <v/>
      </c>
      <c r="AD245" s="30"/>
      <c r="AE245" s="30"/>
      <c r="AF245" s="28" t="str">
        <f t="shared" si="12"/>
        <v/>
      </c>
      <c r="AG245" s="28" t="str">
        <f t="shared" si="13"/>
        <v/>
      </c>
      <c r="AH245" s="23" t="str">
        <f>IF(AG245="","",IF(AG245&gt;=Panduan!$B$4,"Terserap","Perlu Evaluasi"))</f>
        <v/>
      </c>
      <c r="AI245" s="29" t="str">
        <f t="shared" ref="AI245:AJ245" si="254">IF(COUNTA(J245,O245,T245,Y245,AD245)=0,"",SUM(J245,O245,T245,Y245,AD245))</f>
        <v/>
      </c>
      <c r="AJ245" s="29" t="str">
        <f t="shared" si="254"/>
        <v/>
      </c>
      <c r="AK245" s="28" t="str">
        <f t="shared" si="15"/>
        <v/>
      </c>
      <c r="AL245" s="28" t="str">
        <f t="shared" si="16"/>
        <v/>
      </c>
      <c r="AM245" s="23" t="str">
        <f>IF(AL245="","",IF(AL245&gt;=Panduan!$B$4,"Terserap","Perlu Evaluasi"))</f>
        <v/>
      </c>
    </row>
    <row r="246" ht="15.75" customHeight="1">
      <c r="A246" s="23" t="str">
        <f t="shared" si="2"/>
        <v/>
      </c>
      <c r="B246" s="33"/>
      <c r="C246" s="23" t="str">
        <f t="shared" si="3"/>
        <v/>
      </c>
      <c r="D246" s="31"/>
      <c r="E246" s="31"/>
      <c r="F246" s="31"/>
      <c r="G246" s="31"/>
      <c r="H246" s="31"/>
      <c r="I246" s="32"/>
      <c r="J246" s="30"/>
      <c r="K246" s="30"/>
      <c r="L246" s="28" t="str">
        <f t="shared" si="4"/>
        <v/>
      </c>
      <c r="M246" s="28" t="str">
        <f t="shared" si="5"/>
        <v/>
      </c>
      <c r="N246" s="23" t="str">
        <f>IF(M246="","",IF(M246&gt;=Panduan!$B$4,"Terserap","Perlu Evaluasi"))</f>
        <v/>
      </c>
      <c r="O246" s="30"/>
      <c r="P246" s="30"/>
      <c r="Q246" s="28" t="str">
        <f t="shared" si="6"/>
        <v/>
      </c>
      <c r="R246" s="28" t="str">
        <f t="shared" si="7"/>
        <v/>
      </c>
      <c r="S246" s="23" t="str">
        <f>IF(R246="","",IF(R246&gt;=Panduan!$B$4,"Terserap","Perlu Evaluasi"))</f>
        <v/>
      </c>
      <c r="T246" s="30"/>
      <c r="U246" s="30"/>
      <c r="V246" s="28" t="str">
        <f t="shared" si="8"/>
        <v/>
      </c>
      <c r="W246" s="28" t="str">
        <f t="shared" si="9"/>
        <v/>
      </c>
      <c r="X246" s="23" t="str">
        <f>IF(W246="","",IF(W246&gt;=Panduan!$B$4,"Terserap","Perlu Evaluasi"))</f>
        <v/>
      </c>
      <c r="Y246" s="30"/>
      <c r="Z246" s="30"/>
      <c r="AA246" s="28" t="str">
        <f t="shared" si="10"/>
        <v/>
      </c>
      <c r="AB246" s="28" t="str">
        <f t="shared" si="11"/>
        <v/>
      </c>
      <c r="AC246" s="23" t="str">
        <f>IF(AB246="","",IF(AB246&gt;=Panduan!$B$4,"Terserap","Perlu Evaluasi"))</f>
        <v/>
      </c>
      <c r="AD246" s="30"/>
      <c r="AE246" s="30"/>
      <c r="AF246" s="28" t="str">
        <f t="shared" si="12"/>
        <v/>
      </c>
      <c r="AG246" s="28" t="str">
        <f t="shared" si="13"/>
        <v/>
      </c>
      <c r="AH246" s="23" t="str">
        <f>IF(AG246="","",IF(AG246&gt;=Panduan!$B$4,"Terserap","Perlu Evaluasi"))</f>
        <v/>
      </c>
      <c r="AI246" s="29" t="str">
        <f t="shared" ref="AI246:AJ246" si="255">IF(COUNTA(J246,O246,T246,Y246,AD246)=0,"",SUM(J246,O246,T246,Y246,AD246))</f>
        <v/>
      </c>
      <c r="AJ246" s="29" t="str">
        <f t="shared" si="255"/>
        <v/>
      </c>
      <c r="AK246" s="28" t="str">
        <f t="shared" si="15"/>
        <v/>
      </c>
      <c r="AL246" s="28" t="str">
        <f t="shared" si="16"/>
        <v/>
      </c>
      <c r="AM246" s="23" t="str">
        <f>IF(AL246="","",IF(AL246&gt;=Panduan!$B$4,"Terserap","Perlu Evaluasi"))</f>
        <v/>
      </c>
    </row>
    <row r="247" ht="15.75" customHeight="1">
      <c r="A247" s="23" t="str">
        <f t="shared" si="2"/>
        <v/>
      </c>
      <c r="B247" s="33"/>
      <c r="C247" s="23" t="str">
        <f t="shared" si="3"/>
        <v/>
      </c>
      <c r="D247" s="31"/>
      <c r="E247" s="31"/>
      <c r="F247" s="31"/>
      <c r="G247" s="31"/>
      <c r="H247" s="31"/>
      <c r="I247" s="32"/>
      <c r="J247" s="30"/>
      <c r="K247" s="30"/>
      <c r="L247" s="28" t="str">
        <f t="shared" si="4"/>
        <v/>
      </c>
      <c r="M247" s="28" t="str">
        <f t="shared" si="5"/>
        <v/>
      </c>
      <c r="N247" s="23" t="str">
        <f>IF(M247="","",IF(M247&gt;=Panduan!$B$4,"Terserap","Perlu Evaluasi"))</f>
        <v/>
      </c>
      <c r="O247" s="30"/>
      <c r="P247" s="30"/>
      <c r="Q247" s="28" t="str">
        <f t="shared" si="6"/>
        <v/>
      </c>
      <c r="R247" s="28" t="str">
        <f t="shared" si="7"/>
        <v/>
      </c>
      <c r="S247" s="23" t="str">
        <f>IF(R247="","",IF(R247&gt;=Panduan!$B$4,"Terserap","Perlu Evaluasi"))</f>
        <v/>
      </c>
      <c r="T247" s="30"/>
      <c r="U247" s="30"/>
      <c r="V247" s="28" t="str">
        <f t="shared" si="8"/>
        <v/>
      </c>
      <c r="W247" s="28" t="str">
        <f t="shared" si="9"/>
        <v/>
      </c>
      <c r="X247" s="23" t="str">
        <f>IF(W247="","",IF(W247&gt;=Panduan!$B$4,"Terserap","Perlu Evaluasi"))</f>
        <v/>
      </c>
      <c r="Y247" s="30"/>
      <c r="Z247" s="30"/>
      <c r="AA247" s="28" t="str">
        <f t="shared" si="10"/>
        <v/>
      </c>
      <c r="AB247" s="28" t="str">
        <f t="shared" si="11"/>
        <v/>
      </c>
      <c r="AC247" s="23" t="str">
        <f>IF(AB247="","",IF(AB247&gt;=Panduan!$B$4,"Terserap","Perlu Evaluasi"))</f>
        <v/>
      </c>
      <c r="AD247" s="30"/>
      <c r="AE247" s="30"/>
      <c r="AF247" s="28" t="str">
        <f t="shared" si="12"/>
        <v/>
      </c>
      <c r="AG247" s="28" t="str">
        <f t="shared" si="13"/>
        <v/>
      </c>
      <c r="AH247" s="23" t="str">
        <f>IF(AG247="","",IF(AG247&gt;=Panduan!$B$4,"Terserap","Perlu Evaluasi"))</f>
        <v/>
      </c>
      <c r="AI247" s="29" t="str">
        <f t="shared" ref="AI247:AJ247" si="256">IF(COUNTA(J247,O247,T247,Y247,AD247)=0,"",SUM(J247,O247,T247,Y247,AD247))</f>
        <v/>
      </c>
      <c r="AJ247" s="29" t="str">
        <f t="shared" si="256"/>
        <v/>
      </c>
      <c r="AK247" s="28" t="str">
        <f t="shared" si="15"/>
        <v/>
      </c>
      <c r="AL247" s="28" t="str">
        <f t="shared" si="16"/>
        <v/>
      </c>
      <c r="AM247" s="23" t="str">
        <f>IF(AL247="","",IF(AL247&gt;=Panduan!$B$4,"Terserap","Perlu Evaluasi"))</f>
        <v/>
      </c>
    </row>
    <row r="248" ht="15.75" customHeight="1">
      <c r="A248" s="23" t="str">
        <f t="shared" si="2"/>
        <v/>
      </c>
      <c r="B248" s="33"/>
      <c r="C248" s="23" t="str">
        <f t="shared" si="3"/>
        <v/>
      </c>
      <c r="D248" s="31"/>
      <c r="E248" s="31"/>
      <c r="F248" s="31"/>
      <c r="G248" s="31"/>
      <c r="H248" s="31"/>
      <c r="I248" s="32"/>
      <c r="J248" s="30"/>
      <c r="K248" s="30"/>
      <c r="L248" s="28" t="str">
        <f t="shared" si="4"/>
        <v/>
      </c>
      <c r="M248" s="28" t="str">
        <f t="shared" si="5"/>
        <v/>
      </c>
      <c r="N248" s="23" t="str">
        <f>IF(M248="","",IF(M248&gt;=Panduan!$B$4,"Terserap","Perlu Evaluasi"))</f>
        <v/>
      </c>
      <c r="O248" s="30"/>
      <c r="P248" s="30"/>
      <c r="Q248" s="28" t="str">
        <f t="shared" si="6"/>
        <v/>
      </c>
      <c r="R248" s="28" t="str">
        <f t="shared" si="7"/>
        <v/>
      </c>
      <c r="S248" s="23" t="str">
        <f>IF(R248="","",IF(R248&gt;=Panduan!$B$4,"Terserap","Perlu Evaluasi"))</f>
        <v/>
      </c>
      <c r="T248" s="30"/>
      <c r="U248" s="30"/>
      <c r="V248" s="28" t="str">
        <f t="shared" si="8"/>
        <v/>
      </c>
      <c r="W248" s="28" t="str">
        <f t="shared" si="9"/>
        <v/>
      </c>
      <c r="X248" s="23" t="str">
        <f>IF(W248="","",IF(W248&gt;=Panduan!$B$4,"Terserap","Perlu Evaluasi"))</f>
        <v/>
      </c>
      <c r="Y248" s="30"/>
      <c r="Z248" s="30"/>
      <c r="AA248" s="28" t="str">
        <f t="shared" si="10"/>
        <v/>
      </c>
      <c r="AB248" s="28" t="str">
        <f t="shared" si="11"/>
        <v/>
      </c>
      <c r="AC248" s="23" t="str">
        <f>IF(AB248="","",IF(AB248&gt;=Panduan!$B$4,"Terserap","Perlu Evaluasi"))</f>
        <v/>
      </c>
      <c r="AD248" s="30"/>
      <c r="AE248" s="30"/>
      <c r="AF248" s="28" t="str">
        <f t="shared" si="12"/>
        <v/>
      </c>
      <c r="AG248" s="28" t="str">
        <f t="shared" si="13"/>
        <v/>
      </c>
      <c r="AH248" s="23" t="str">
        <f>IF(AG248="","",IF(AG248&gt;=Panduan!$B$4,"Terserap","Perlu Evaluasi"))</f>
        <v/>
      </c>
      <c r="AI248" s="29" t="str">
        <f t="shared" ref="AI248:AJ248" si="257">IF(COUNTA(J248,O248,T248,Y248,AD248)=0,"",SUM(J248,O248,T248,Y248,AD248))</f>
        <v/>
      </c>
      <c r="AJ248" s="29" t="str">
        <f t="shared" si="257"/>
        <v/>
      </c>
      <c r="AK248" s="28" t="str">
        <f t="shared" si="15"/>
        <v/>
      </c>
      <c r="AL248" s="28" t="str">
        <f t="shared" si="16"/>
        <v/>
      </c>
      <c r="AM248" s="23" t="str">
        <f>IF(AL248="","",IF(AL248&gt;=Panduan!$B$4,"Terserap","Perlu Evaluasi"))</f>
        <v/>
      </c>
    </row>
    <row r="249" ht="15.75" customHeight="1">
      <c r="A249" s="23" t="str">
        <f t="shared" si="2"/>
        <v/>
      </c>
      <c r="B249" s="33"/>
      <c r="C249" s="23" t="str">
        <f t="shared" si="3"/>
        <v/>
      </c>
      <c r="D249" s="31"/>
      <c r="E249" s="31"/>
      <c r="F249" s="31"/>
      <c r="G249" s="31"/>
      <c r="H249" s="31"/>
      <c r="I249" s="32"/>
      <c r="J249" s="30"/>
      <c r="K249" s="30"/>
      <c r="L249" s="28" t="str">
        <f t="shared" si="4"/>
        <v/>
      </c>
      <c r="M249" s="28" t="str">
        <f t="shared" si="5"/>
        <v/>
      </c>
      <c r="N249" s="23" t="str">
        <f>IF(M249="","",IF(M249&gt;=Panduan!$B$4,"Terserap","Perlu Evaluasi"))</f>
        <v/>
      </c>
      <c r="O249" s="30"/>
      <c r="P249" s="30"/>
      <c r="Q249" s="28" t="str">
        <f t="shared" si="6"/>
        <v/>
      </c>
      <c r="R249" s="28" t="str">
        <f t="shared" si="7"/>
        <v/>
      </c>
      <c r="S249" s="23" t="str">
        <f>IF(R249="","",IF(R249&gt;=Panduan!$B$4,"Terserap","Perlu Evaluasi"))</f>
        <v/>
      </c>
      <c r="T249" s="30"/>
      <c r="U249" s="30"/>
      <c r="V249" s="28" t="str">
        <f t="shared" si="8"/>
        <v/>
      </c>
      <c r="W249" s="28" t="str">
        <f t="shared" si="9"/>
        <v/>
      </c>
      <c r="X249" s="23" t="str">
        <f>IF(W249="","",IF(W249&gt;=Panduan!$B$4,"Terserap","Perlu Evaluasi"))</f>
        <v/>
      </c>
      <c r="Y249" s="30"/>
      <c r="Z249" s="30"/>
      <c r="AA249" s="28" t="str">
        <f t="shared" si="10"/>
        <v/>
      </c>
      <c r="AB249" s="28" t="str">
        <f t="shared" si="11"/>
        <v/>
      </c>
      <c r="AC249" s="23" t="str">
        <f>IF(AB249="","",IF(AB249&gt;=Panduan!$B$4,"Terserap","Perlu Evaluasi"))</f>
        <v/>
      </c>
      <c r="AD249" s="30"/>
      <c r="AE249" s="30"/>
      <c r="AF249" s="28" t="str">
        <f t="shared" si="12"/>
        <v/>
      </c>
      <c r="AG249" s="28" t="str">
        <f t="shared" si="13"/>
        <v/>
      </c>
      <c r="AH249" s="23" t="str">
        <f>IF(AG249="","",IF(AG249&gt;=Panduan!$B$4,"Terserap","Perlu Evaluasi"))</f>
        <v/>
      </c>
      <c r="AI249" s="29" t="str">
        <f t="shared" ref="AI249:AJ249" si="258">IF(COUNTA(J249,O249,T249,Y249,AD249)=0,"",SUM(J249,O249,T249,Y249,AD249))</f>
        <v/>
      </c>
      <c r="AJ249" s="29" t="str">
        <f t="shared" si="258"/>
        <v/>
      </c>
      <c r="AK249" s="28" t="str">
        <f t="shared" si="15"/>
        <v/>
      </c>
      <c r="AL249" s="28" t="str">
        <f t="shared" si="16"/>
        <v/>
      </c>
      <c r="AM249" s="23" t="str">
        <f>IF(AL249="","",IF(AL249&gt;=Panduan!$B$4,"Terserap","Perlu Evaluasi"))</f>
        <v/>
      </c>
    </row>
    <row r="250" ht="15.75" customHeight="1">
      <c r="A250" s="23" t="str">
        <f t="shared" si="2"/>
        <v/>
      </c>
      <c r="B250" s="33"/>
      <c r="C250" s="23" t="str">
        <f t="shared" si="3"/>
        <v/>
      </c>
      <c r="D250" s="31"/>
      <c r="E250" s="31"/>
      <c r="F250" s="31"/>
      <c r="G250" s="31"/>
      <c r="H250" s="31"/>
      <c r="I250" s="32"/>
      <c r="J250" s="30"/>
      <c r="K250" s="30"/>
      <c r="L250" s="28" t="str">
        <f t="shared" si="4"/>
        <v/>
      </c>
      <c r="M250" s="28" t="str">
        <f t="shared" si="5"/>
        <v/>
      </c>
      <c r="N250" s="23" t="str">
        <f>IF(M250="","",IF(M250&gt;=Panduan!$B$4,"Terserap","Perlu Evaluasi"))</f>
        <v/>
      </c>
      <c r="O250" s="30"/>
      <c r="P250" s="30"/>
      <c r="Q250" s="28" t="str">
        <f t="shared" si="6"/>
        <v/>
      </c>
      <c r="R250" s="28" t="str">
        <f t="shared" si="7"/>
        <v/>
      </c>
      <c r="S250" s="23" t="str">
        <f>IF(R250="","",IF(R250&gt;=Panduan!$B$4,"Terserap","Perlu Evaluasi"))</f>
        <v/>
      </c>
      <c r="T250" s="30"/>
      <c r="U250" s="30"/>
      <c r="V250" s="28" t="str">
        <f t="shared" si="8"/>
        <v/>
      </c>
      <c r="W250" s="28" t="str">
        <f t="shared" si="9"/>
        <v/>
      </c>
      <c r="X250" s="23" t="str">
        <f>IF(W250="","",IF(W250&gt;=Panduan!$B$4,"Terserap","Perlu Evaluasi"))</f>
        <v/>
      </c>
      <c r="Y250" s="30"/>
      <c r="Z250" s="30"/>
      <c r="AA250" s="28" t="str">
        <f t="shared" si="10"/>
        <v/>
      </c>
      <c r="AB250" s="28" t="str">
        <f t="shared" si="11"/>
        <v/>
      </c>
      <c r="AC250" s="23" t="str">
        <f>IF(AB250="","",IF(AB250&gt;=Panduan!$B$4,"Terserap","Perlu Evaluasi"))</f>
        <v/>
      </c>
      <c r="AD250" s="30"/>
      <c r="AE250" s="30"/>
      <c r="AF250" s="28" t="str">
        <f t="shared" si="12"/>
        <v/>
      </c>
      <c r="AG250" s="28" t="str">
        <f t="shared" si="13"/>
        <v/>
      </c>
      <c r="AH250" s="23" t="str">
        <f>IF(AG250="","",IF(AG250&gt;=Panduan!$B$4,"Terserap","Perlu Evaluasi"))</f>
        <v/>
      </c>
      <c r="AI250" s="29" t="str">
        <f t="shared" ref="AI250:AJ250" si="259">IF(COUNTA(J250,O250,T250,Y250,AD250)=0,"",SUM(J250,O250,T250,Y250,AD250))</f>
        <v/>
      </c>
      <c r="AJ250" s="29" t="str">
        <f t="shared" si="259"/>
        <v/>
      </c>
      <c r="AK250" s="28" t="str">
        <f t="shared" si="15"/>
        <v/>
      </c>
      <c r="AL250" s="28" t="str">
        <f t="shared" si="16"/>
        <v/>
      </c>
      <c r="AM250" s="23" t="str">
        <f>IF(AL250="","",IF(AL250&gt;=Panduan!$B$4,"Terserap","Perlu Evaluasi"))</f>
        <v/>
      </c>
    </row>
    <row r="251" ht="15.75" customHeight="1">
      <c r="A251" s="23" t="str">
        <f t="shared" si="2"/>
        <v/>
      </c>
      <c r="B251" s="33"/>
      <c r="C251" s="23" t="str">
        <f t="shared" si="3"/>
        <v/>
      </c>
      <c r="D251" s="31"/>
      <c r="E251" s="31"/>
      <c r="F251" s="31"/>
      <c r="G251" s="31"/>
      <c r="H251" s="31"/>
      <c r="I251" s="32"/>
      <c r="J251" s="30"/>
      <c r="K251" s="30"/>
      <c r="L251" s="28" t="str">
        <f t="shared" si="4"/>
        <v/>
      </c>
      <c r="M251" s="28" t="str">
        <f t="shared" si="5"/>
        <v/>
      </c>
      <c r="N251" s="23" t="str">
        <f>IF(M251="","",IF(M251&gt;=Panduan!$B$4,"Terserap","Perlu Evaluasi"))</f>
        <v/>
      </c>
      <c r="O251" s="30"/>
      <c r="P251" s="30"/>
      <c r="Q251" s="28" t="str">
        <f t="shared" si="6"/>
        <v/>
      </c>
      <c r="R251" s="28" t="str">
        <f t="shared" si="7"/>
        <v/>
      </c>
      <c r="S251" s="23" t="str">
        <f>IF(R251="","",IF(R251&gt;=Panduan!$B$4,"Terserap","Perlu Evaluasi"))</f>
        <v/>
      </c>
      <c r="T251" s="30"/>
      <c r="U251" s="30"/>
      <c r="V251" s="28" t="str">
        <f t="shared" si="8"/>
        <v/>
      </c>
      <c r="W251" s="28" t="str">
        <f t="shared" si="9"/>
        <v/>
      </c>
      <c r="X251" s="23" t="str">
        <f>IF(W251="","",IF(W251&gt;=Panduan!$B$4,"Terserap","Perlu Evaluasi"))</f>
        <v/>
      </c>
      <c r="Y251" s="30"/>
      <c r="Z251" s="30"/>
      <c r="AA251" s="28" t="str">
        <f t="shared" si="10"/>
        <v/>
      </c>
      <c r="AB251" s="28" t="str">
        <f t="shared" si="11"/>
        <v/>
      </c>
      <c r="AC251" s="23" t="str">
        <f>IF(AB251="","",IF(AB251&gt;=Panduan!$B$4,"Terserap","Perlu Evaluasi"))</f>
        <v/>
      </c>
      <c r="AD251" s="30"/>
      <c r="AE251" s="30"/>
      <c r="AF251" s="28" t="str">
        <f t="shared" si="12"/>
        <v/>
      </c>
      <c r="AG251" s="28" t="str">
        <f t="shared" si="13"/>
        <v/>
      </c>
      <c r="AH251" s="23" t="str">
        <f>IF(AG251="","",IF(AG251&gt;=Panduan!$B$4,"Terserap","Perlu Evaluasi"))</f>
        <v/>
      </c>
      <c r="AI251" s="29" t="str">
        <f t="shared" ref="AI251:AJ251" si="260">IF(COUNTA(J251,O251,T251,Y251,AD251)=0,"",SUM(J251,O251,T251,Y251,AD251))</f>
        <v/>
      </c>
      <c r="AJ251" s="29" t="str">
        <f t="shared" si="260"/>
        <v/>
      </c>
      <c r="AK251" s="28" t="str">
        <f t="shared" si="15"/>
        <v/>
      </c>
      <c r="AL251" s="28" t="str">
        <f t="shared" si="16"/>
        <v/>
      </c>
      <c r="AM251" s="23" t="str">
        <f>IF(AL251="","",IF(AL251&gt;=Panduan!$B$4,"Terserap","Perlu Evaluasi"))</f>
        <v/>
      </c>
    </row>
    <row r="252" ht="15.75" customHeight="1">
      <c r="A252" s="23" t="str">
        <f t="shared" si="2"/>
        <v/>
      </c>
      <c r="B252" s="33"/>
      <c r="C252" s="23" t="str">
        <f t="shared" si="3"/>
        <v/>
      </c>
      <c r="D252" s="31"/>
      <c r="E252" s="31"/>
      <c r="F252" s="31"/>
      <c r="G252" s="31"/>
      <c r="H252" s="31"/>
      <c r="I252" s="32"/>
      <c r="J252" s="30"/>
      <c r="K252" s="30"/>
      <c r="L252" s="28" t="str">
        <f t="shared" si="4"/>
        <v/>
      </c>
      <c r="M252" s="28" t="str">
        <f t="shared" si="5"/>
        <v/>
      </c>
      <c r="N252" s="23" t="str">
        <f>IF(M252="","",IF(M252&gt;=Panduan!$B$4,"Terserap","Perlu Evaluasi"))</f>
        <v/>
      </c>
      <c r="O252" s="30"/>
      <c r="P252" s="30"/>
      <c r="Q252" s="28" t="str">
        <f t="shared" si="6"/>
        <v/>
      </c>
      <c r="R252" s="28" t="str">
        <f t="shared" si="7"/>
        <v/>
      </c>
      <c r="S252" s="23" t="str">
        <f>IF(R252="","",IF(R252&gt;=Panduan!$B$4,"Terserap","Perlu Evaluasi"))</f>
        <v/>
      </c>
      <c r="T252" s="30"/>
      <c r="U252" s="30"/>
      <c r="V252" s="28" t="str">
        <f t="shared" si="8"/>
        <v/>
      </c>
      <c r="W252" s="28" t="str">
        <f t="shared" si="9"/>
        <v/>
      </c>
      <c r="X252" s="23" t="str">
        <f>IF(W252="","",IF(W252&gt;=Panduan!$B$4,"Terserap","Perlu Evaluasi"))</f>
        <v/>
      </c>
      <c r="Y252" s="30"/>
      <c r="Z252" s="30"/>
      <c r="AA252" s="28" t="str">
        <f t="shared" si="10"/>
        <v/>
      </c>
      <c r="AB252" s="28" t="str">
        <f t="shared" si="11"/>
        <v/>
      </c>
      <c r="AC252" s="23" t="str">
        <f>IF(AB252="","",IF(AB252&gt;=Panduan!$B$4,"Terserap","Perlu Evaluasi"))</f>
        <v/>
      </c>
      <c r="AD252" s="30"/>
      <c r="AE252" s="30"/>
      <c r="AF252" s="28" t="str">
        <f t="shared" si="12"/>
        <v/>
      </c>
      <c r="AG252" s="28" t="str">
        <f t="shared" si="13"/>
        <v/>
      </c>
      <c r="AH252" s="23" t="str">
        <f>IF(AG252="","",IF(AG252&gt;=Panduan!$B$4,"Terserap","Perlu Evaluasi"))</f>
        <v/>
      </c>
      <c r="AI252" s="29" t="str">
        <f t="shared" ref="AI252:AJ252" si="261">IF(COUNTA(J252,O252,T252,Y252,AD252)=0,"",SUM(J252,O252,T252,Y252,AD252))</f>
        <v/>
      </c>
      <c r="AJ252" s="29" t="str">
        <f t="shared" si="261"/>
        <v/>
      </c>
      <c r="AK252" s="28" t="str">
        <f t="shared" si="15"/>
        <v/>
      </c>
      <c r="AL252" s="28" t="str">
        <f t="shared" si="16"/>
        <v/>
      </c>
      <c r="AM252" s="23" t="str">
        <f>IF(AL252="","",IF(AL252&gt;=Panduan!$B$4,"Terserap","Perlu Evaluasi"))</f>
        <v/>
      </c>
    </row>
    <row r="253" ht="15.75" customHeight="1">
      <c r="A253" s="23" t="str">
        <f t="shared" si="2"/>
        <v/>
      </c>
      <c r="B253" s="33"/>
      <c r="C253" s="23" t="str">
        <f t="shared" si="3"/>
        <v/>
      </c>
      <c r="D253" s="31"/>
      <c r="E253" s="31"/>
      <c r="F253" s="31"/>
      <c r="G253" s="31"/>
      <c r="H253" s="31"/>
      <c r="I253" s="32"/>
      <c r="J253" s="30"/>
      <c r="K253" s="30"/>
      <c r="L253" s="28" t="str">
        <f t="shared" si="4"/>
        <v/>
      </c>
      <c r="M253" s="28" t="str">
        <f t="shared" si="5"/>
        <v/>
      </c>
      <c r="N253" s="23" t="str">
        <f>IF(M253="","",IF(M253&gt;=Panduan!$B$4,"Terserap","Perlu Evaluasi"))</f>
        <v/>
      </c>
      <c r="O253" s="30"/>
      <c r="P253" s="30"/>
      <c r="Q253" s="28" t="str">
        <f t="shared" si="6"/>
        <v/>
      </c>
      <c r="R253" s="28" t="str">
        <f t="shared" si="7"/>
        <v/>
      </c>
      <c r="S253" s="23" t="str">
        <f>IF(R253="","",IF(R253&gt;=Panduan!$B$4,"Terserap","Perlu Evaluasi"))</f>
        <v/>
      </c>
      <c r="T253" s="30"/>
      <c r="U253" s="30"/>
      <c r="V253" s="28" t="str">
        <f t="shared" si="8"/>
        <v/>
      </c>
      <c r="W253" s="28" t="str">
        <f t="shared" si="9"/>
        <v/>
      </c>
      <c r="X253" s="23" t="str">
        <f>IF(W253="","",IF(W253&gt;=Panduan!$B$4,"Terserap","Perlu Evaluasi"))</f>
        <v/>
      </c>
      <c r="Y253" s="30"/>
      <c r="Z253" s="30"/>
      <c r="AA253" s="28" t="str">
        <f t="shared" si="10"/>
        <v/>
      </c>
      <c r="AB253" s="28" t="str">
        <f t="shared" si="11"/>
        <v/>
      </c>
      <c r="AC253" s="23" t="str">
        <f>IF(AB253="","",IF(AB253&gt;=Panduan!$B$4,"Terserap","Perlu Evaluasi"))</f>
        <v/>
      </c>
      <c r="AD253" s="30"/>
      <c r="AE253" s="30"/>
      <c r="AF253" s="28" t="str">
        <f t="shared" si="12"/>
        <v/>
      </c>
      <c r="AG253" s="28" t="str">
        <f t="shared" si="13"/>
        <v/>
      </c>
      <c r="AH253" s="23" t="str">
        <f>IF(AG253="","",IF(AG253&gt;=Panduan!$B$4,"Terserap","Perlu Evaluasi"))</f>
        <v/>
      </c>
      <c r="AI253" s="29" t="str">
        <f t="shared" ref="AI253:AJ253" si="262">IF(COUNTA(J253,O253,T253,Y253,AD253)=0,"",SUM(J253,O253,T253,Y253,AD253))</f>
        <v/>
      </c>
      <c r="AJ253" s="29" t="str">
        <f t="shared" si="262"/>
        <v/>
      </c>
      <c r="AK253" s="28" t="str">
        <f t="shared" si="15"/>
        <v/>
      </c>
      <c r="AL253" s="28" t="str">
        <f t="shared" si="16"/>
        <v/>
      </c>
      <c r="AM253" s="23" t="str">
        <f>IF(AL253="","",IF(AL253&gt;=Panduan!$B$4,"Terserap","Perlu Evaluasi"))</f>
        <v/>
      </c>
    </row>
    <row r="254" ht="15.75" customHeight="1">
      <c r="A254" s="23" t="str">
        <f t="shared" si="2"/>
        <v/>
      </c>
      <c r="B254" s="33"/>
      <c r="C254" s="23" t="str">
        <f t="shared" si="3"/>
        <v/>
      </c>
      <c r="D254" s="31"/>
      <c r="E254" s="31"/>
      <c r="F254" s="31"/>
      <c r="G254" s="31"/>
      <c r="H254" s="31"/>
      <c r="I254" s="32"/>
      <c r="J254" s="30"/>
      <c r="K254" s="30"/>
      <c r="L254" s="28" t="str">
        <f t="shared" si="4"/>
        <v/>
      </c>
      <c r="M254" s="28" t="str">
        <f t="shared" si="5"/>
        <v/>
      </c>
      <c r="N254" s="23" t="str">
        <f>IF(M254="","",IF(M254&gt;=Panduan!$B$4,"Terserap","Perlu Evaluasi"))</f>
        <v/>
      </c>
      <c r="O254" s="30"/>
      <c r="P254" s="30"/>
      <c r="Q254" s="28" t="str">
        <f t="shared" si="6"/>
        <v/>
      </c>
      <c r="R254" s="28" t="str">
        <f t="shared" si="7"/>
        <v/>
      </c>
      <c r="S254" s="23" t="str">
        <f>IF(R254="","",IF(R254&gt;=Panduan!$B$4,"Terserap","Perlu Evaluasi"))</f>
        <v/>
      </c>
      <c r="T254" s="30"/>
      <c r="U254" s="30"/>
      <c r="V254" s="28" t="str">
        <f t="shared" si="8"/>
        <v/>
      </c>
      <c r="W254" s="28" t="str">
        <f t="shared" si="9"/>
        <v/>
      </c>
      <c r="X254" s="23" t="str">
        <f>IF(W254="","",IF(W254&gt;=Panduan!$B$4,"Terserap","Perlu Evaluasi"))</f>
        <v/>
      </c>
      <c r="Y254" s="30"/>
      <c r="Z254" s="30"/>
      <c r="AA254" s="28" t="str">
        <f t="shared" si="10"/>
        <v/>
      </c>
      <c r="AB254" s="28" t="str">
        <f t="shared" si="11"/>
        <v/>
      </c>
      <c r="AC254" s="23" t="str">
        <f>IF(AB254="","",IF(AB254&gt;=Panduan!$B$4,"Terserap","Perlu Evaluasi"))</f>
        <v/>
      </c>
      <c r="AD254" s="30"/>
      <c r="AE254" s="30"/>
      <c r="AF254" s="28" t="str">
        <f t="shared" si="12"/>
        <v/>
      </c>
      <c r="AG254" s="28" t="str">
        <f t="shared" si="13"/>
        <v/>
      </c>
      <c r="AH254" s="23" t="str">
        <f>IF(AG254="","",IF(AG254&gt;=Panduan!$B$4,"Terserap","Perlu Evaluasi"))</f>
        <v/>
      </c>
      <c r="AI254" s="29" t="str">
        <f t="shared" ref="AI254:AJ254" si="263">IF(COUNTA(J254,O254,T254,Y254,AD254)=0,"",SUM(J254,O254,T254,Y254,AD254))</f>
        <v/>
      </c>
      <c r="AJ254" s="29" t="str">
        <f t="shared" si="263"/>
        <v/>
      </c>
      <c r="AK254" s="28" t="str">
        <f t="shared" si="15"/>
        <v/>
      </c>
      <c r="AL254" s="28" t="str">
        <f t="shared" si="16"/>
        <v/>
      </c>
      <c r="AM254" s="23" t="str">
        <f>IF(AL254="","",IF(AL254&gt;=Panduan!$B$4,"Terserap","Perlu Evaluasi"))</f>
        <v/>
      </c>
    </row>
    <row r="255" ht="15.75" customHeight="1">
      <c r="A255" s="23" t="str">
        <f t="shared" si="2"/>
        <v/>
      </c>
      <c r="B255" s="33"/>
      <c r="C255" s="23" t="str">
        <f t="shared" si="3"/>
        <v/>
      </c>
      <c r="D255" s="31"/>
      <c r="E255" s="31"/>
      <c r="F255" s="31"/>
      <c r="G255" s="31"/>
      <c r="H255" s="31"/>
      <c r="I255" s="32"/>
      <c r="J255" s="30"/>
      <c r="K255" s="30"/>
      <c r="L255" s="28" t="str">
        <f t="shared" si="4"/>
        <v/>
      </c>
      <c r="M255" s="28" t="str">
        <f t="shared" si="5"/>
        <v/>
      </c>
      <c r="N255" s="23" t="str">
        <f>IF(M255="","",IF(M255&gt;=Panduan!$B$4,"Terserap","Perlu Evaluasi"))</f>
        <v/>
      </c>
      <c r="O255" s="30"/>
      <c r="P255" s="30"/>
      <c r="Q255" s="28" t="str">
        <f t="shared" si="6"/>
        <v/>
      </c>
      <c r="R255" s="28" t="str">
        <f t="shared" si="7"/>
        <v/>
      </c>
      <c r="S255" s="23" t="str">
        <f>IF(R255="","",IF(R255&gt;=Panduan!$B$4,"Terserap","Perlu Evaluasi"))</f>
        <v/>
      </c>
      <c r="T255" s="30"/>
      <c r="U255" s="30"/>
      <c r="V255" s="28" t="str">
        <f t="shared" si="8"/>
        <v/>
      </c>
      <c r="W255" s="28" t="str">
        <f t="shared" si="9"/>
        <v/>
      </c>
      <c r="X255" s="23" t="str">
        <f>IF(W255="","",IF(W255&gt;=Panduan!$B$4,"Terserap","Perlu Evaluasi"))</f>
        <v/>
      </c>
      <c r="Y255" s="30"/>
      <c r="Z255" s="30"/>
      <c r="AA255" s="28" t="str">
        <f t="shared" si="10"/>
        <v/>
      </c>
      <c r="AB255" s="28" t="str">
        <f t="shared" si="11"/>
        <v/>
      </c>
      <c r="AC255" s="23" t="str">
        <f>IF(AB255="","",IF(AB255&gt;=Panduan!$B$4,"Terserap","Perlu Evaluasi"))</f>
        <v/>
      </c>
      <c r="AD255" s="30"/>
      <c r="AE255" s="30"/>
      <c r="AF255" s="28" t="str">
        <f t="shared" si="12"/>
        <v/>
      </c>
      <c r="AG255" s="28" t="str">
        <f t="shared" si="13"/>
        <v/>
      </c>
      <c r="AH255" s="23" t="str">
        <f>IF(AG255="","",IF(AG255&gt;=Panduan!$B$4,"Terserap","Perlu Evaluasi"))</f>
        <v/>
      </c>
      <c r="AI255" s="29" t="str">
        <f t="shared" ref="AI255:AJ255" si="264">IF(COUNTA(J255,O255,T255,Y255,AD255)=0,"",SUM(J255,O255,T255,Y255,AD255))</f>
        <v/>
      </c>
      <c r="AJ255" s="29" t="str">
        <f t="shared" si="264"/>
        <v/>
      </c>
      <c r="AK255" s="28" t="str">
        <f t="shared" si="15"/>
        <v/>
      </c>
      <c r="AL255" s="28" t="str">
        <f t="shared" si="16"/>
        <v/>
      </c>
      <c r="AM255" s="23" t="str">
        <f>IF(AL255="","",IF(AL255&gt;=Panduan!$B$4,"Terserap","Perlu Evaluasi"))</f>
        <v/>
      </c>
    </row>
    <row r="256" ht="15.75" customHeight="1">
      <c r="A256" s="23" t="str">
        <f t="shared" si="2"/>
        <v/>
      </c>
      <c r="B256" s="33"/>
      <c r="C256" s="23" t="str">
        <f t="shared" si="3"/>
        <v/>
      </c>
      <c r="D256" s="31"/>
      <c r="E256" s="31"/>
      <c r="F256" s="31"/>
      <c r="G256" s="31"/>
      <c r="H256" s="31"/>
      <c r="I256" s="32"/>
      <c r="J256" s="30"/>
      <c r="K256" s="30"/>
      <c r="L256" s="28" t="str">
        <f t="shared" si="4"/>
        <v/>
      </c>
      <c r="M256" s="28" t="str">
        <f t="shared" si="5"/>
        <v/>
      </c>
      <c r="N256" s="23" t="str">
        <f>IF(M256="","",IF(M256&gt;=Panduan!$B$4,"Terserap","Perlu Evaluasi"))</f>
        <v/>
      </c>
      <c r="O256" s="30"/>
      <c r="P256" s="30"/>
      <c r="Q256" s="28" t="str">
        <f t="shared" si="6"/>
        <v/>
      </c>
      <c r="R256" s="28" t="str">
        <f t="shared" si="7"/>
        <v/>
      </c>
      <c r="S256" s="23" t="str">
        <f>IF(R256="","",IF(R256&gt;=Panduan!$B$4,"Terserap","Perlu Evaluasi"))</f>
        <v/>
      </c>
      <c r="T256" s="30"/>
      <c r="U256" s="30"/>
      <c r="V256" s="28" t="str">
        <f t="shared" si="8"/>
        <v/>
      </c>
      <c r="W256" s="28" t="str">
        <f t="shared" si="9"/>
        <v/>
      </c>
      <c r="X256" s="23" t="str">
        <f>IF(W256="","",IF(W256&gt;=Panduan!$B$4,"Terserap","Perlu Evaluasi"))</f>
        <v/>
      </c>
      <c r="Y256" s="30"/>
      <c r="Z256" s="30"/>
      <c r="AA256" s="28" t="str">
        <f t="shared" si="10"/>
        <v/>
      </c>
      <c r="AB256" s="28" t="str">
        <f t="shared" si="11"/>
        <v/>
      </c>
      <c r="AC256" s="23" t="str">
        <f>IF(AB256="","",IF(AB256&gt;=Panduan!$B$4,"Terserap","Perlu Evaluasi"))</f>
        <v/>
      </c>
      <c r="AD256" s="30"/>
      <c r="AE256" s="30"/>
      <c r="AF256" s="28" t="str">
        <f t="shared" si="12"/>
        <v/>
      </c>
      <c r="AG256" s="28" t="str">
        <f t="shared" si="13"/>
        <v/>
      </c>
      <c r="AH256" s="23" t="str">
        <f>IF(AG256="","",IF(AG256&gt;=Panduan!$B$4,"Terserap","Perlu Evaluasi"))</f>
        <v/>
      </c>
      <c r="AI256" s="29" t="str">
        <f t="shared" ref="AI256:AJ256" si="265">IF(COUNTA(J256,O256,T256,Y256,AD256)=0,"",SUM(J256,O256,T256,Y256,AD256))</f>
        <v/>
      </c>
      <c r="AJ256" s="29" t="str">
        <f t="shared" si="265"/>
        <v/>
      </c>
      <c r="AK256" s="28" t="str">
        <f t="shared" si="15"/>
        <v/>
      </c>
      <c r="AL256" s="28" t="str">
        <f t="shared" si="16"/>
        <v/>
      </c>
      <c r="AM256" s="23" t="str">
        <f>IF(AL256="","",IF(AL256&gt;=Panduan!$B$4,"Terserap","Perlu Evaluasi"))</f>
        <v/>
      </c>
    </row>
    <row r="257" ht="15.75" customHeight="1">
      <c r="A257" s="23" t="str">
        <f t="shared" si="2"/>
        <v/>
      </c>
      <c r="B257" s="33"/>
      <c r="C257" s="23" t="str">
        <f t="shared" si="3"/>
        <v/>
      </c>
      <c r="D257" s="31"/>
      <c r="E257" s="31"/>
      <c r="F257" s="31"/>
      <c r="G257" s="31"/>
      <c r="H257" s="31"/>
      <c r="I257" s="32"/>
      <c r="J257" s="30"/>
      <c r="K257" s="30"/>
      <c r="L257" s="28" t="str">
        <f t="shared" si="4"/>
        <v/>
      </c>
      <c r="M257" s="28" t="str">
        <f t="shared" si="5"/>
        <v/>
      </c>
      <c r="N257" s="23" t="str">
        <f>IF(M257="","",IF(M257&gt;=Panduan!$B$4,"Terserap","Perlu Evaluasi"))</f>
        <v/>
      </c>
      <c r="O257" s="30"/>
      <c r="P257" s="30"/>
      <c r="Q257" s="28" t="str">
        <f t="shared" si="6"/>
        <v/>
      </c>
      <c r="R257" s="28" t="str">
        <f t="shared" si="7"/>
        <v/>
      </c>
      <c r="S257" s="23" t="str">
        <f>IF(R257="","",IF(R257&gt;=Panduan!$B$4,"Terserap","Perlu Evaluasi"))</f>
        <v/>
      </c>
      <c r="T257" s="30"/>
      <c r="U257" s="30"/>
      <c r="V257" s="28" t="str">
        <f t="shared" si="8"/>
        <v/>
      </c>
      <c r="W257" s="28" t="str">
        <f t="shared" si="9"/>
        <v/>
      </c>
      <c r="X257" s="23" t="str">
        <f>IF(W257="","",IF(W257&gt;=Panduan!$B$4,"Terserap","Perlu Evaluasi"))</f>
        <v/>
      </c>
      <c r="Y257" s="30"/>
      <c r="Z257" s="30"/>
      <c r="AA257" s="28" t="str">
        <f t="shared" si="10"/>
        <v/>
      </c>
      <c r="AB257" s="28" t="str">
        <f t="shared" si="11"/>
        <v/>
      </c>
      <c r="AC257" s="23" t="str">
        <f>IF(AB257="","",IF(AB257&gt;=Panduan!$B$4,"Terserap","Perlu Evaluasi"))</f>
        <v/>
      </c>
      <c r="AD257" s="30"/>
      <c r="AE257" s="30"/>
      <c r="AF257" s="28" t="str">
        <f t="shared" si="12"/>
        <v/>
      </c>
      <c r="AG257" s="28" t="str">
        <f t="shared" si="13"/>
        <v/>
      </c>
      <c r="AH257" s="23" t="str">
        <f>IF(AG257="","",IF(AG257&gt;=Panduan!$B$4,"Terserap","Perlu Evaluasi"))</f>
        <v/>
      </c>
      <c r="AI257" s="29" t="str">
        <f t="shared" ref="AI257:AJ257" si="266">IF(COUNTA(J257,O257,T257,Y257,AD257)=0,"",SUM(J257,O257,T257,Y257,AD257))</f>
        <v/>
      </c>
      <c r="AJ257" s="29" t="str">
        <f t="shared" si="266"/>
        <v/>
      </c>
      <c r="AK257" s="28" t="str">
        <f t="shared" si="15"/>
        <v/>
      </c>
      <c r="AL257" s="28" t="str">
        <f t="shared" si="16"/>
        <v/>
      </c>
      <c r="AM257" s="23" t="str">
        <f>IF(AL257="","",IF(AL257&gt;=Panduan!$B$4,"Terserap","Perlu Evaluasi"))</f>
        <v/>
      </c>
    </row>
    <row r="258" ht="15.75" customHeight="1">
      <c r="A258" s="23" t="str">
        <f t="shared" si="2"/>
        <v/>
      </c>
      <c r="B258" s="33"/>
      <c r="C258" s="23" t="str">
        <f t="shared" si="3"/>
        <v/>
      </c>
      <c r="D258" s="31"/>
      <c r="E258" s="31"/>
      <c r="F258" s="31"/>
      <c r="G258" s="31"/>
      <c r="H258" s="31"/>
      <c r="I258" s="32"/>
      <c r="J258" s="30"/>
      <c r="K258" s="30"/>
      <c r="L258" s="28" t="str">
        <f t="shared" si="4"/>
        <v/>
      </c>
      <c r="M258" s="28" t="str">
        <f t="shared" si="5"/>
        <v/>
      </c>
      <c r="N258" s="23" t="str">
        <f>IF(M258="","",IF(M258&gt;=Panduan!$B$4,"Terserap","Perlu Evaluasi"))</f>
        <v/>
      </c>
      <c r="O258" s="30"/>
      <c r="P258" s="30"/>
      <c r="Q258" s="28" t="str">
        <f t="shared" si="6"/>
        <v/>
      </c>
      <c r="R258" s="28" t="str">
        <f t="shared" si="7"/>
        <v/>
      </c>
      <c r="S258" s="23" t="str">
        <f>IF(R258="","",IF(R258&gt;=Panduan!$B$4,"Terserap","Perlu Evaluasi"))</f>
        <v/>
      </c>
      <c r="T258" s="30"/>
      <c r="U258" s="30"/>
      <c r="V258" s="28" t="str">
        <f t="shared" si="8"/>
        <v/>
      </c>
      <c r="W258" s="28" t="str">
        <f t="shared" si="9"/>
        <v/>
      </c>
      <c r="X258" s="23" t="str">
        <f>IF(W258="","",IF(W258&gt;=Panduan!$B$4,"Terserap","Perlu Evaluasi"))</f>
        <v/>
      </c>
      <c r="Y258" s="30"/>
      <c r="Z258" s="30"/>
      <c r="AA258" s="28" t="str">
        <f t="shared" si="10"/>
        <v/>
      </c>
      <c r="AB258" s="28" t="str">
        <f t="shared" si="11"/>
        <v/>
      </c>
      <c r="AC258" s="23" t="str">
        <f>IF(AB258="","",IF(AB258&gt;=Panduan!$B$4,"Terserap","Perlu Evaluasi"))</f>
        <v/>
      </c>
      <c r="AD258" s="30"/>
      <c r="AE258" s="30"/>
      <c r="AF258" s="28" t="str">
        <f t="shared" si="12"/>
        <v/>
      </c>
      <c r="AG258" s="28" t="str">
        <f t="shared" si="13"/>
        <v/>
      </c>
      <c r="AH258" s="23" t="str">
        <f>IF(AG258="","",IF(AG258&gt;=Panduan!$B$4,"Terserap","Perlu Evaluasi"))</f>
        <v/>
      </c>
      <c r="AI258" s="29" t="str">
        <f t="shared" ref="AI258:AJ258" si="267">IF(COUNTA(J258,O258,T258,Y258,AD258)=0,"",SUM(J258,O258,T258,Y258,AD258))</f>
        <v/>
      </c>
      <c r="AJ258" s="29" t="str">
        <f t="shared" si="267"/>
        <v/>
      </c>
      <c r="AK258" s="28" t="str">
        <f t="shared" si="15"/>
        <v/>
      </c>
      <c r="AL258" s="28" t="str">
        <f t="shared" si="16"/>
        <v/>
      </c>
      <c r="AM258" s="23" t="str">
        <f>IF(AL258="","",IF(AL258&gt;=Panduan!$B$4,"Terserap","Perlu Evaluasi"))</f>
        <v/>
      </c>
    </row>
    <row r="259" ht="15.75" customHeight="1">
      <c r="A259" s="23" t="str">
        <f t="shared" si="2"/>
        <v/>
      </c>
      <c r="B259" s="33"/>
      <c r="C259" s="23" t="str">
        <f t="shared" si="3"/>
        <v/>
      </c>
      <c r="D259" s="31"/>
      <c r="E259" s="31"/>
      <c r="F259" s="31"/>
      <c r="G259" s="31"/>
      <c r="H259" s="31"/>
      <c r="I259" s="32"/>
      <c r="J259" s="30"/>
      <c r="K259" s="30"/>
      <c r="L259" s="28" t="str">
        <f t="shared" si="4"/>
        <v/>
      </c>
      <c r="M259" s="28" t="str">
        <f t="shared" si="5"/>
        <v/>
      </c>
      <c r="N259" s="23" t="str">
        <f>IF(M259="","",IF(M259&gt;=Panduan!$B$4,"Terserap","Perlu Evaluasi"))</f>
        <v/>
      </c>
      <c r="O259" s="30"/>
      <c r="P259" s="30"/>
      <c r="Q259" s="28" t="str">
        <f t="shared" si="6"/>
        <v/>
      </c>
      <c r="R259" s="28" t="str">
        <f t="shared" si="7"/>
        <v/>
      </c>
      <c r="S259" s="23" t="str">
        <f>IF(R259="","",IF(R259&gt;=Panduan!$B$4,"Terserap","Perlu Evaluasi"))</f>
        <v/>
      </c>
      <c r="T259" s="30"/>
      <c r="U259" s="30"/>
      <c r="V259" s="28" t="str">
        <f t="shared" si="8"/>
        <v/>
      </c>
      <c r="W259" s="28" t="str">
        <f t="shared" si="9"/>
        <v/>
      </c>
      <c r="X259" s="23" t="str">
        <f>IF(W259="","",IF(W259&gt;=Panduan!$B$4,"Terserap","Perlu Evaluasi"))</f>
        <v/>
      </c>
      <c r="Y259" s="30"/>
      <c r="Z259" s="30"/>
      <c r="AA259" s="28" t="str">
        <f t="shared" si="10"/>
        <v/>
      </c>
      <c r="AB259" s="28" t="str">
        <f t="shared" si="11"/>
        <v/>
      </c>
      <c r="AC259" s="23" t="str">
        <f>IF(AB259="","",IF(AB259&gt;=Panduan!$B$4,"Terserap","Perlu Evaluasi"))</f>
        <v/>
      </c>
      <c r="AD259" s="30"/>
      <c r="AE259" s="30"/>
      <c r="AF259" s="28" t="str">
        <f t="shared" si="12"/>
        <v/>
      </c>
      <c r="AG259" s="28" t="str">
        <f t="shared" si="13"/>
        <v/>
      </c>
      <c r="AH259" s="23" t="str">
        <f>IF(AG259="","",IF(AG259&gt;=Panduan!$B$4,"Terserap","Perlu Evaluasi"))</f>
        <v/>
      </c>
      <c r="AI259" s="29" t="str">
        <f t="shared" ref="AI259:AJ259" si="268">IF(COUNTA(J259,O259,T259,Y259,AD259)=0,"",SUM(J259,O259,T259,Y259,AD259))</f>
        <v/>
      </c>
      <c r="AJ259" s="29" t="str">
        <f t="shared" si="268"/>
        <v/>
      </c>
      <c r="AK259" s="28" t="str">
        <f t="shared" si="15"/>
        <v/>
      </c>
      <c r="AL259" s="28" t="str">
        <f t="shared" si="16"/>
        <v/>
      </c>
      <c r="AM259" s="23" t="str">
        <f>IF(AL259="","",IF(AL259&gt;=Panduan!$B$4,"Terserap","Perlu Evaluasi"))</f>
        <v/>
      </c>
    </row>
    <row r="260" ht="15.75" customHeight="1">
      <c r="A260" s="23" t="str">
        <f t="shared" si="2"/>
        <v/>
      </c>
      <c r="B260" s="33"/>
      <c r="C260" s="23" t="str">
        <f t="shared" si="3"/>
        <v/>
      </c>
      <c r="D260" s="31"/>
      <c r="E260" s="31"/>
      <c r="F260" s="31"/>
      <c r="G260" s="31"/>
      <c r="H260" s="31"/>
      <c r="I260" s="32"/>
      <c r="J260" s="30"/>
      <c r="K260" s="30"/>
      <c r="L260" s="28" t="str">
        <f t="shared" si="4"/>
        <v/>
      </c>
      <c r="M260" s="28" t="str">
        <f t="shared" si="5"/>
        <v/>
      </c>
      <c r="N260" s="23" t="str">
        <f>IF(M260="","",IF(M260&gt;=Panduan!$B$4,"Terserap","Perlu Evaluasi"))</f>
        <v/>
      </c>
      <c r="O260" s="30"/>
      <c r="P260" s="30"/>
      <c r="Q260" s="28" t="str">
        <f t="shared" si="6"/>
        <v/>
      </c>
      <c r="R260" s="28" t="str">
        <f t="shared" si="7"/>
        <v/>
      </c>
      <c r="S260" s="23" t="str">
        <f>IF(R260="","",IF(R260&gt;=Panduan!$B$4,"Terserap","Perlu Evaluasi"))</f>
        <v/>
      </c>
      <c r="T260" s="30"/>
      <c r="U260" s="30"/>
      <c r="V260" s="28" t="str">
        <f t="shared" si="8"/>
        <v/>
      </c>
      <c r="W260" s="28" t="str">
        <f t="shared" si="9"/>
        <v/>
      </c>
      <c r="X260" s="23" t="str">
        <f>IF(W260="","",IF(W260&gt;=Panduan!$B$4,"Terserap","Perlu Evaluasi"))</f>
        <v/>
      </c>
      <c r="Y260" s="30"/>
      <c r="Z260" s="30"/>
      <c r="AA260" s="28" t="str">
        <f t="shared" si="10"/>
        <v/>
      </c>
      <c r="AB260" s="28" t="str">
        <f t="shared" si="11"/>
        <v/>
      </c>
      <c r="AC260" s="23" t="str">
        <f>IF(AB260="","",IF(AB260&gt;=Panduan!$B$4,"Terserap","Perlu Evaluasi"))</f>
        <v/>
      </c>
      <c r="AD260" s="30"/>
      <c r="AE260" s="30"/>
      <c r="AF260" s="28" t="str">
        <f t="shared" si="12"/>
        <v/>
      </c>
      <c r="AG260" s="28" t="str">
        <f t="shared" si="13"/>
        <v/>
      </c>
      <c r="AH260" s="23" t="str">
        <f>IF(AG260="","",IF(AG260&gt;=Panduan!$B$4,"Terserap","Perlu Evaluasi"))</f>
        <v/>
      </c>
      <c r="AI260" s="29" t="str">
        <f t="shared" ref="AI260:AJ260" si="269">IF(COUNTA(J260,O260,T260,Y260,AD260)=0,"",SUM(J260,O260,T260,Y260,AD260))</f>
        <v/>
      </c>
      <c r="AJ260" s="29" t="str">
        <f t="shared" si="269"/>
        <v/>
      </c>
      <c r="AK260" s="28" t="str">
        <f t="shared" si="15"/>
        <v/>
      </c>
      <c r="AL260" s="28" t="str">
        <f t="shared" si="16"/>
        <v/>
      </c>
      <c r="AM260" s="23" t="str">
        <f>IF(AL260="","",IF(AL260&gt;=Panduan!$B$4,"Terserap","Perlu Evaluasi"))</f>
        <v/>
      </c>
    </row>
    <row r="261" ht="15.75" customHeight="1">
      <c r="A261" s="23" t="str">
        <f t="shared" si="2"/>
        <v/>
      </c>
      <c r="B261" s="33"/>
      <c r="C261" s="23" t="str">
        <f t="shared" si="3"/>
        <v/>
      </c>
      <c r="D261" s="31"/>
      <c r="E261" s="31"/>
      <c r="F261" s="31"/>
      <c r="G261" s="31"/>
      <c r="H261" s="31"/>
      <c r="I261" s="32"/>
      <c r="J261" s="30"/>
      <c r="K261" s="30"/>
      <c r="L261" s="28" t="str">
        <f t="shared" si="4"/>
        <v/>
      </c>
      <c r="M261" s="28" t="str">
        <f t="shared" si="5"/>
        <v/>
      </c>
      <c r="N261" s="23" t="str">
        <f>IF(M261="","",IF(M261&gt;=Panduan!$B$4,"Terserap","Perlu Evaluasi"))</f>
        <v/>
      </c>
      <c r="O261" s="30"/>
      <c r="P261" s="30"/>
      <c r="Q261" s="28" t="str">
        <f t="shared" si="6"/>
        <v/>
      </c>
      <c r="R261" s="28" t="str">
        <f t="shared" si="7"/>
        <v/>
      </c>
      <c r="S261" s="23" t="str">
        <f>IF(R261="","",IF(R261&gt;=Panduan!$B$4,"Terserap","Perlu Evaluasi"))</f>
        <v/>
      </c>
      <c r="T261" s="30"/>
      <c r="U261" s="30"/>
      <c r="V261" s="28" t="str">
        <f t="shared" si="8"/>
        <v/>
      </c>
      <c r="W261" s="28" t="str">
        <f t="shared" si="9"/>
        <v/>
      </c>
      <c r="X261" s="23" t="str">
        <f>IF(W261="","",IF(W261&gt;=Panduan!$B$4,"Terserap","Perlu Evaluasi"))</f>
        <v/>
      </c>
      <c r="Y261" s="30"/>
      <c r="Z261" s="30"/>
      <c r="AA261" s="28" t="str">
        <f t="shared" si="10"/>
        <v/>
      </c>
      <c r="AB261" s="28" t="str">
        <f t="shared" si="11"/>
        <v/>
      </c>
      <c r="AC261" s="23" t="str">
        <f>IF(AB261="","",IF(AB261&gt;=Panduan!$B$4,"Terserap","Perlu Evaluasi"))</f>
        <v/>
      </c>
      <c r="AD261" s="30"/>
      <c r="AE261" s="30"/>
      <c r="AF261" s="28" t="str">
        <f t="shared" si="12"/>
        <v/>
      </c>
      <c r="AG261" s="28" t="str">
        <f t="shared" si="13"/>
        <v/>
      </c>
      <c r="AH261" s="23" t="str">
        <f>IF(AG261="","",IF(AG261&gt;=Panduan!$B$4,"Terserap","Perlu Evaluasi"))</f>
        <v/>
      </c>
      <c r="AI261" s="29" t="str">
        <f t="shared" ref="AI261:AJ261" si="270">IF(COUNTA(J261,O261,T261,Y261,AD261)=0,"",SUM(J261,O261,T261,Y261,AD261))</f>
        <v/>
      </c>
      <c r="AJ261" s="29" t="str">
        <f t="shared" si="270"/>
        <v/>
      </c>
      <c r="AK261" s="28" t="str">
        <f t="shared" si="15"/>
        <v/>
      </c>
      <c r="AL261" s="28" t="str">
        <f t="shared" si="16"/>
        <v/>
      </c>
      <c r="AM261" s="23" t="str">
        <f>IF(AL261="","",IF(AL261&gt;=Panduan!$B$4,"Terserap","Perlu Evaluasi"))</f>
        <v/>
      </c>
    </row>
    <row r="262" ht="15.75" customHeight="1">
      <c r="A262" s="23" t="str">
        <f t="shared" si="2"/>
        <v/>
      </c>
      <c r="B262" s="33"/>
      <c r="C262" s="23" t="str">
        <f t="shared" si="3"/>
        <v/>
      </c>
      <c r="D262" s="31"/>
      <c r="E262" s="31"/>
      <c r="F262" s="31"/>
      <c r="G262" s="31"/>
      <c r="H262" s="31"/>
      <c r="I262" s="32"/>
      <c r="J262" s="30"/>
      <c r="K262" s="30"/>
      <c r="L262" s="28" t="str">
        <f t="shared" si="4"/>
        <v/>
      </c>
      <c r="M262" s="28" t="str">
        <f t="shared" si="5"/>
        <v/>
      </c>
      <c r="N262" s="23" t="str">
        <f>IF(M262="","",IF(M262&gt;=Panduan!$B$4,"Terserap","Perlu Evaluasi"))</f>
        <v/>
      </c>
      <c r="O262" s="30"/>
      <c r="P262" s="30"/>
      <c r="Q262" s="28" t="str">
        <f t="shared" si="6"/>
        <v/>
      </c>
      <c r="R262" s="28" t="str">
        <f t="shared" si="7"/>
        <v/>
      </c>
      <c r="S262" s="23" t="str">
        <f>IF(R262="","",IF(R262&gt;=Panduan!$B$4,"Terserap","Perlu Evaluasi"))</f>
        <v/>
      </c>
      <c r="T262" s="30"/>
      <c r="U262" s="30"/>
      <c r="V262" s="28" t="str">
        <f t="shared" si="8"/>
        <v/>
      </c>
      <c r="W262" s="28" t="str">
        <f t="shared" si="9"/>
        <v/>
      </c>
      <c r="X262" s="23" t="str">
        <f>IF(W262="","",IF(W262&gt;=Panduan!$B$4,"Terserap","Perlu Evaluasi"))</f>
        <v/>
      </c>
      <c r="Y262" s="30"/>
      <c r="Z262" s="30"/>
      <c r="AA262" s="28" t="str">
        <f t="shared" si="10"/>
        <v/>
      </c>
      <c r="AB262" s="28" t="str">
        <f t="shared" si="11"/>
        <v/>
      </c>
      <c r="AC262" s="23" t="str">
        <f>IF(AB262="","",IF(AB262&gt;=Panduan!$B$4,"Terserap","Perlu Evaluasi"))</f>
        <v/>
      </c>
      <c r="AD262" s="30"/>
      <c r="AE262" s="30"/>
      <c r="AF262" s="28" t="str">
        <f t="shared" si="12"/>
        <v/>
      </c>
      <c r="AG262" s="28" t="str">
        <f t="shared" si="13"/>
        <v/>
      </c>
      <c r="AH262" s="23" t="str">
        <f>IF(AG262="","",IF(AG262&gt;=Panduan!$B$4,"Terserap","Perlu Evaluasi"))</f>
        <v/>
      </c>
      <c r="AI262" s="29" t="str">
        <f t="shared" ref="AI262:AJ262" si="271">IF(COUNTA(J262,O262,T262,Y262,AD262)=0,"",SUM(J262,O262,T262,Y262,AD262))</f>
        <v/>
      </c>
      <c r="AJ262" s="29" t="str">
        <f t="shared" si="271"/>
        <v/>
      </c>
      <c r="AK262" s="28" t="str">
        <f t="shared" si="15"/>
        <v/>
      </c>
      <c r="AL262" s="28" t="str">
        <f t="shared" si="16"/>
        <v/>
      </c>
      <c r="AM262" s="23" t="str">
        <f>IF(AL262="","",IF(AL262&gt;=Panduan!$B$4,"Terserap","Perlu Evaluasi"))</f>
        <v/>
      </c>
    </row>
    <row r="263" ht="15.75" customHeight="1">
      <c r="A263" s="23" t="str">
        <f t="shared" si="2"/>
        <v/>
      </c>
      <c r="B263" s="33"/>
      <c r="C263" s="23" t="str">
        <f t="shared" si="3"/>
        <v/>
      </c>
      <c r="D263" s="31"/>
      <c r="E263" s="31"/>
      <c r="F263" s="31"/>
      <c r="G263" s="31"/>
      <c r="H263" s="31"/>
      <c r="I263" s="32"/>
      <c r="J263" s="30"/>
      <c r="K263" s="30"/>
      <c r="L263" s="28" t="str">
        <f t="shared" si="4"/>
        <v/>
      </c>
      <c r="M263" s="28" t="str">
        <f t="shared" si="5"/>
        <v/>
      </c>
      <c r="N263" s="23" t="str">
        <f>IF(M263="","",IF(M263&gt;=Panduan!$B$4,"Terserap","Perlu Evaluasi"))</f>
        <v/>
      </c>
      <c r="O263" s="30"/>
      <c r="P263" s="30"/>
      <c r="Q263" s="28" t="str">
        <f t="shared" si="6"/>
        <v/>
      </c>
      <c r="R263" s="28" t="str">
        <f t="shared" si="7"/>
        <v/>
      </c>
      <c r="S263" s="23" t="str">
        <f>IF(R263="","",IF(R263&gt;=Panduan!$B$4,"Terserap","Perlu Evaluasi"))</f>
        <v/>
      </c>
      <c r="T263" s="30"/>
      <c r="U263" s="30"/>
      <c r="V263" s="28" t="str">
        <f t="shared" si="8"/>
        <v/>
      </c>
      <c r="W263" s="28" t="str">
        <f t="shared" si="9"/>
        <v/>
      </c>
      <c r="X263" s="23" t="str">
        <f>IF(W263="","",IF(W263&gt;=Panduan!$B$4,"Terserap","Perlu Evaluasi"))</f>
        <v/>
      </c>
      <c r="Y263" s="30"/>
      <c r="Z263" s="30"/>
      <c r="AA263" s="28" t="str">
        <f t="shared" si="10"/>
        <v/>
      </c>
      <c r="AB263" s="28" t="str">
        <f t="shared" si="11"/>
        <v/>
      </c>
      <c r="AC263" s="23" t="str">
        <f>IF(AB263="","",IF(AB263&gt;=Panduan!$B$4,"Terserap","Perlu Evaluasi"))</f>
        <v/>
      </c>
      <c r="AD263" s="30"/>
      <c r="AE263" s="30"/>
      <c r="AF263" s="28" t="str">
        <f t="shared" si="12"/>
        <v/>
      </c>
      <c r="AG263" s="28" t="str">
        <f t="shared" si="13"/>
        <v/>
      </c>
      <c r="AH263" s="23" t="str">
        <f>IF(AG263="","",IF(AG263&gt;=Panduan!$B$4,"Terserap","Perlu Evaluasi"))</f>
        <v/>
      </c>
      <c r="AI263" s="29" t="str">
        <f t="shared" ref="AI263:AJ263" si="272">IF(COUNTA(J263,O263,T263,Y263,AD263)=0,"",SUM(J263,O263,T263,Y263,AD263))</f>
        <v/>
      </c>
      <c r="AJ263" s="29" t="str">
        <f t="shared" si="272"/>
        <v/>
      </c>
      <c r="AK263" s="28" t="str">
        <f t="shared" si="15"/>
        <v/>
      </c>
      <c r="AL263" s="28" t="str">
        <f t="shared" si="16"/>
        <v/>
      </c>
      <c r="AM263" s="23" t="str">
        <f>IF(AL263="","",IF(AL263&gt;=Panduan!$B$4,"Terserap","Perlu Evaluasi"))</f>
        <v/>
      </c>
    </row>
    <row r="264" ht="15.75" customHeight="1">
      <c r="A264" s="23" t="str">
        <f t="shared" si="2"/>
        <v/>
      </c>
      <c r="B264" s="33"/>
      <c r="C264" s="23" t="str">
        <f t="shared" si="3"/>
        <v/>
      </c>
      <c r="D264" s="31"/>
      <c r="E264" s="31"/>
      <c r="F264" s="31"/>
      <c r="G264" s="31"/>
      <c r="H264" s="31"/>
      <c r="I264" s="32"/>
      <c r="J264" s="30"/>
      <c r="K264" s="30"/>
      <c r="L264" s="28" t="str">
        <f t="shared" si="4"/>
        <v/>
      </c>
      <c r="M264" s="28" t="str">
        <f t="shared" si="5"/>
        <v/>
      </c>
      <c r="N264" s="23" t="str">
        <f>IF(M264="","",IF(M264&gt;=Panduan!$B$4,"Terserap","Perlu Evaluasi"))</f>
        <v/>
      </c>
      <c r="O264" s="30"/>
      <c r="P264" s="30"/>
      <c r="Q264" s="28" t="str">
        <f t="shared" si="6"/>
        <v/>
      </c>
      <c r="R264" s="28" t="str">
        <f t="shared" si="7"/>
        <v/>
      </c>
      <c r="S264" s="23" t="str">
        <f>IF(R264="","",IF(R264&gt;=Panduan!$B$4,"Terserap","Perlu Evaluasi"))</f>
        <v/>
      </c>
      <c r="T264" s="30"/>
      <c r="U264" s="30"/>
      <c r="V264" s="28" t="str">
        <f t="shared" si="8"/>
        <v/>
      </c>
      <c r="W264" s="28" t="str">
        <f t="shared" si="9"/>
        <v/>
      </c>
      <c r="X264" s="23" t="str">
        <f>IF(W264="","",IF(W264&gt;=Panduan!$B$4,"Terserap","Perlu Evaluasi"))</f>
        <v/>
      </c>
      <c r="Y264" s="30"/>
      <c r="Z264" s="30"/>
      <c r="AA264" s="28" t="str">
        <f t="shared" si="10"/>
        <v/>
      </c>
      <c r="AB264" s="28" t="str">
        <f t="shared" si="11"/>
        <v/>
      </c>
      <c r="AC264" s="23" t="str">
        <f>IF(AB264="","",IF(AB264&gt;=Panduan!$B$4,"Terserap","Perlu Evaluasi"))</f>
        <v/>
      </c>
      <c r="AD264" s="30"/>
      <c r="AE264" s="30"/>
      <c r="AF264" s="28" t="str">
        <f t="shared" si="12"/>
        <v/>
      </c>
      <c r="AG264" s="28" t="str">
        <f t="shared" si="13"/>
        <v/>
      </c>
      <c r="AH264" s="23" t="str">
        <f>IF(AG264="","",IF(AG264&gt;=Panduan!$B$4,"Terserap","Perlu Evaluasi"))</f>
        <v/>
      </c>
      <c r="AI264" s="29" t="str">
        <f t="shared" ref="AI264:AJ264" si="273">IF(COUNTA(J264,O264,T264,Y264,AD264)=0,"",SUM(J264,O264,T264,Y264,AD264))</f>
        <v/>
      </c>
      <c r="AJ264" s="29" t="str">
        <f t="shared" si="273"/>
        <v/>
      </c>
      <c r="AK264" s="28" t="str">
        <f t="shared" si="15"/>
        <v/>
      </c>
      <c r="AL264" s="28" t="str">
        <f t="shared" si="16"/>
        <v/>
      </c>
      <c r="AM264" s="23" t="str">
        <f>IF(AL264="","",IF(AL264&gt;=Panduan!$B$4,"Terserap","Perlu Evaluasi"))</f>
        <v/>
      </c>
    </row>
    <row r="265" ht="15.75" customHeight="1">
      <c r="A265" s="23" t="str">
        <f t="shared" si="2"/>
        <v/>
      </c>
      <c r="B265" s="33"/>
      <c r="C265" s="23" t="str">
        <f t="shared" si="3"/>
        <v/>
      </c>
      <c r="D265" s="31"/>
      <c r="E265" s="31"/>
      <c r="F265" s="31"/>
      <c r="G265" s="31"/>
      <c r="H265" s="31"/>
      <c r="I265" s="32"/>
      <c r="J265" s="30"/>
      <c r="K265" s="30"/>
      <c r="L265" s="28" t="str">
        <f t="shared" si="4"/>
        <v/>
      </c>
      <c r="M265" s="28" t="str">
        <f t="shared" si="5"/>
        <v/>
      </c>
      <c r="N265" s="23" t="str">
        <f>IF(M265="","",IF(M265&gt;=Panduan!$B$4,"Terserap","Perlu Evaluasi"))</f>
        <v/>
      </c>
      <c r="O265" s="30"/>
      <c r="P265" s="30"/>
      <c r="Q265" s="28" t="str">
        <f t="shared" si="6"/>
        <v/>
      </c>
      <c r="R265" s="28" t="str">
        <f t="shared" si="7"/>
        <v/>
      </c>
      <c r="S265" s="23" t="str">
        <f>IF(R265="","",IF(R265&gt;=Panduan!$B$4,"Terserap","Perlu Evaluasi"))</f>
        <v/>
      </c>
      <c r="T265" s="30"/>
      <c r="U265" s="30"/>
      <c r="V265" s="28" t="str">
        <f t="shared" si="8"/>
        <v/>
      </c>
      <c r="W265" s="28" t="str">
        <f t="shared" si="9"/>
        <v/>
      </c>
      <c r="X265" s="23" t="str">
        <f>IF(W265="","",IF(W265&gt;=Panduan!$B$4,"Terserap","Perlu Evaluasi"))</f>
        <v/>
      </c>
      <c r="Y265" s="30"/>
      <c r="Z265" s="30"/>
      <c r="AA265" s="28" t="str">
        <f t="shared" si="10"/>
        <v/>
      </c>
      <c r="AB265" s="28" t="str">
        <f t="shared" si="11"/>
        <v/>
      </c>
      <c r="AC265" s="23" t="str">
        <f>IF(AB265="","",IF(AB265&gt;=Panduan!$B$4,"Terserap","Perlu Evaluasi"))</f>
        <v/>
      </c>
      <c r="AD265" s="30"/>
      <c r="AE265" s="30"/>
      <c r="AF265" s="28" t="str">
        <f t="shared" si="12"/>
        <v/>
      </c>
      <c r="AG265" s="28" t="str">
        <f t="shared" si="13"/>
        <v/>
      </c>
      <c r="AH265" s="23" t="str">
        <f>IF(AG265="","",IF(AG265&gt;=Panduan!$B$4,"Terserap","Perlu Evaluasi"))</f>
        <v/>
      </c>
      <c r="AI265" s="29" t="str">
        <f t="shared" ref="AI265:AJ265" si="274">IF(COUNTA(J265,O265,T265,Y265,AD265)=0,"",SUM(J265,O265,T265,Y265,AD265))</f>
        <v/>
      </c>
      <c r="AJ265" s="29" t="str">
        <f t="shared" si="274"/>
        <v/>
      </c>
      <c r="AK265" s="28" t="str">
        <f t="shared" si="15"/>
        <v/>
      </c>
      <c r="AL265" s="28" t="str">
        <f t="shared" si="16"/>
        <v/>
      </c>
      <c r="AM265" s="23" t="str">
        <f>IF(AL265="","",IF(AL265&gt;=Panduan!$B$4,"Terserap","Perlu Evaluasi"))</f>
        <v/>
      </c>
    </row>
    <row r="266" ht="15.75" customHeight="1">
      <c r="A266" s="23" t="str">
        <f t="shared" si="2"/>
        <v/>
      </c>
      <c r="B266" s="33"/>
      <c r="C266" s="23" t="str">
        <f t="shared" si="3"/>
        <v/>
      </c>
      <c r="D266" s="31"/>
      <c r="E266" s="31"/>
      <c r="F266" s="31"/>
      <c r="G266" s="31"/>
      <c r="H266" s="31"/>
      <c r="I266" s="32"/>
      <c r="J266" s="30"/>
      <c r="K266" s="30"/>
      <c r="L266" s="28" t="str">
        <f t="shared" si="4"/>
        <v/>
      </c>
      <c r="M266" s="28" t="str">
        <f t="shared" si="5"/>
        <v/>
      </c>
      <c r="N266" s="23" t="str">
        <f>IF(M266="","",IF(M266&gt;=Panduan!$B$4,"Terserap","Perlu Evaluasi"))</f>
        <v/>
      </c>
      <c r="O266" s="30"/>
      <c r="P266" s="30"/>
      <c r="Q266" s="28" t="str">
        <f t="shared" si="6"/>
        <v/>
      </c>
      <c r="R266" s="28" t="str">
        <f t="shared" si="7"/>
        <v/>
      </c>
      <c r="S266" s="23" t="str">
        <f>IF(R266="","",IF(R266&gt;=Panduan!$B$4,"Terserap","Perlu Evaluasi"))</f>
        <v/>
      </c>
      <c r="T266" s="30"/>
      <c r="U266" s="30"/>
      <c r="V266" s="28" t="str">
        <f t="shared" si="8"/>
        <v/>
      </c>
      <c r="W266" s="28" t="str">
        <f t="shared" si="9"/>
        <v/>
      </c>
      <c r="X266" s="23" t="str">
        <f>IF(W266="","",IF(W266&gt;=Panduan!$B$4,"Terserap","Perlu Evaluasi"))</f>
        <v/>
      </c>
      <c r="Y266" s="30"/>
      <c r="Z266" s="30"/>
      <c r="AA266" s="28" t="str">
        <f t="shared" si="10"/>
        <v/>
      </c>
      <c r="AB266" s="28" t="str">
        <f t="shared" si="11"/>
        <v/>
      </c>
      <c r="AC266" s="23" t="str">
        <f>IF(AB266="","",IF(AB266&gt;=Panduan!$B$4,"Terserap","Perlu Evaluasi"))</f>
        <v/>
      </c>
      <c r="AD266" s="30"/>
      <c r="AE266" s="30"/>
      <c r="AF266" s="28" t="str">
        <f t="shared" si="12"/>
        <v/>
      </c>
      <c r="AG266" s="28" t="str">
        <f t="shared" si="13"/>
        <v/>
      </c>
      <c r="AH266" s="23" t="str">
        <f>IF(AG266="","",IF(AG266&gt;=Panduan!$B$4,"Terserap","Perlu Evaluasi"))</f>
        <v/>
      </c>
      <c r="AI266" s="29" t="str">
        <f t="shared" ref="AI266:AJ266" si="275">IF(COUNTA(J266,O266,T266,Y266,AD266)=0,"",SUM(J266,O266,T266,Y266,AD266))</f>
        <v/>
      </c>
      <c r="AJ266" s="29" t="str">
        <f t="shared" si="275"/>
        <v/>
      </c>
      <c r="AK266" s="28" t="str">
        <f t="shared" si="15"/>
        <v/>
      </c>
      <c r="AL266" s="28" t="str">
        <f t="shared" si="16"/>
        <v/>
      </c>
      <c r="AM266" s="23" t="str">
        <f>IF(AL266="","",IF(AL266&gt;=Panduan!$B$4,"Terserap","Perlu Evaluasi"))</f>
        <v/>
      </c>
    </row>
    <row r="267" ht="15.75" customHeight="1">
      <c r="A267" s="23" t="str">
        <f t="shared" si="2"/>
        <v/>
      </c>
      <c r="B267" s="33"/>
      <c r="C267" s="23" t="str">
        <f t="shared" si="3"/>
        <v/>
      </c>
      <c r="D267" s="31"/>
      <c r="E267" s="31"/>
      <c r="F267" s="31"/>
      <c r="G267" s="31"/>
      <c r="H267" s="31"/>
      <c r="I267" s="32"/>
      <c r="J267" s="30"/>
      <c r="K267" s="30"/>
      <c r="L267" s="28" t="str">
        <f t="shared" si="4"/>
        <v/>
      </c>
      <c r="M267" s="28" t="str">
        <f t="shared" si="5"/>
        <v/>
      </c>
      <c r="N267" s="23" t="str">
        <f>IF(M267="","",IF(M267&gt;=Panduan!$B$4,"Terserap","Perlu Evaluasi"))</f>
        <v/>
      </c>
      <c r="O267" s="30"/>
      <c r="P267" s="30"/>
      <c r="Q267" s="28" t="str">
        <f t="shared" si="6"/>
        <v/>
      </c>
      <c r="R267" s="28" t="str">
        <f t="shared" si="7"/>
        <v/>
      </c>
      <c r="S267" s="23" t="str">
        <f>IF(R267="","",IF(R267&gt;=Panduan!$B$4,"Terserap","Perlu Evaluasi"))</f>
        <v/>
      </c>
      <c r="T267" s="30"/>
      <c r="U267" s="30"/>
      <c r="V267" s="28" t="str">
        <f t="shared" si="8"/>
        <v/>
      </c>
      <c r="W267" s="28" t="str">
        <f t="shared" si="9"/>
        <v/>
      </c>
      <c r="X267" s="23" t="str">
        <f>IF(W267="","",IF(W267&gt;=Panduan!$B$4,"Terserap","Perlu Evaluasi"))</f>
        <v/>
      </c>
      <c r="Y267" s="30"/>
      <c r="Z267" s="30"/>
      <c r="AA267" s="28" t="str">
        <f t="shared" si="10"/>
        <v/>
      </c>
      <c r="AB267" s="28" t="str">
        <f t="shared" si="11"/>
        <v/>
      </c>
      <c r="AC267" s="23" t="str">
        <f>IF(AB267="","",IF(AB267&gt;=Panduan!$B$4,"Terserap","Perlu Evaluasi"))</f>
        <v/>
      </c>
      <c r="AD267" s="30"/>
      <c r="AE267" s="30"/>
      <c r="AF267" s="28" t="str">
        <f t="shared" si="12"/>
        <v/>
      </c>
      <c r="AG267" s="28" t="str">
        <f t="shared" si="13"/>
        <v/>
      </c>
      <c r="AH267" s="23" t="str">
        <f>IF(AG267="","",IF(AG267&gt;=Panduan!$B$4,"Terserap","Perlu Evaluasi"))</f>
        <v/>
      </c>
      <c r="AI267" s="29" t="str">
        <f t="shared" ref="AI267:AJ267" si="276">IF(COUNTA(J267,O267,T267,Y267,AD267)=0,"",SUM(J267,O267,T267,Y267,AD267))</f>
        <v/>
      </c>
      <c r="AJ267" s="29" t="str">
        <f t="shared" si="276"/>
        <v/>
      </c>
      <c r="AK267" s="28" t="str">
        <f t="shared" si="15"/>
        <v/>
      </c>
      <c r="AL267" s="28" t="str">
        <f t="shared" si="16"/>
        <v/>
      </c>
      <c r="AM267" s="23" t="str">
        <f>IF(AL267="","",IF(AL267&gt;=Panduan!$B$4,"Terserap","Perlu Evaluasi"))</f>
        <v/>
      </c>
    </row>
    <row r="268" ht="15.75" customHeight="1">
      <c r="A268" s="23" t="str">
        <f t="shared" si="2"/>
        <v/>
      </c>
      <c r="B268" s="33"/>
      <c r="C268" s="23" t="str">
        <f t="shared" si="3"/>
        <v/>
      </c>
      <c r="D268" s="31"/>
      <c r="E268" s="31"/>
      <c r="F268" s="31"/>
      <c r="G268" s="31"/>
      <c r="H268" s="31"/>
      <c r="I268" s="32"/>
      <c r="J268" s="30"/>
      <c r="K268" s="30"/>
      <c r="L268" s="28" t="str">
        <f t="shared" si="4"/>
        <v/>
      </c>
      <c r="M268" s="28" t="str">
        <f t="shared" si="5"/>
        <v/>
      </c>
      <c r="N268" s="23" t="str">
        <f>IF(M268="","",IF(M268&gt;=Panduan!$B$4,"Terserap","Perlu Evaluasi"))</f>
        <v/>
      </c>
      <c r="O268" s="30"/>
      <c r="P268" s="30"/>
      <c r="Q268" s="28" t="str">
        <f t="shared" si="6"/>
        <v/>
      </c>
      <c r="R268" s="28" t="str">
        <f t="shared" si="7"/>
        <v/>
      </c>
      <c r="S268" s="23" t="str">
        <f>IF(R268="","",IF(R268&gt;=Panduan!$B$4,"Terserap","Perlu Evaluasi"))</f>
        <v/>
      </c>
      <c r="T268" s="30"/>
      <c r="U268" s="30"/>
      <c r="V268" s="28" t="str">
        <f t="shared" si="8"/>
        <v/>
      </c>
      <c r="W268" s="28" t="str">
        <f t="shared" si="9"/>
        <v/>
      </c>
      <c r="X268" s="23" t="str">
        <f>IF(W268="","",IF(W268&gt;=Panduan!$B$4,"Terserap","Perlu Evaluasi"))</f>
        <v/>
      </c>
      <c r="Y268" s="30"/>
      <c r="Z268" s="30"/>
      <c r="AA268" s="28" t="str">
        <f t="shared" si="10"/>
        <v/>
      </c>
      <c r="AB268" s="28" t="str">
        <f t="shared" si="11"/>
        <v/>
      </c>
      <c r="AC268" s="23" t="str">
        <f>IF(AB268="","",IF(AB268&gt;=Panduan!$B$4,"Terserap","Perlu Evaluasi"))</f>
        <v/>
      </c>
      <c r="AD268" s="30"/>
      <c r="AE268" s="30"/>
      <c r="AF268" s="28" t="str">
        <f t="shared" si="12"/>
        <v/>
      </c>
      <c r="AG268" s="28" t="str">
        <f t="shared" si="13"/>
        <v/>
      </c>
      <c r="AH268" s="23" t="str">
        <f>IF(AG268="","",IF(AG268&gt;=Panduan!$B$4,"Terserap","Perlu Evaluasi"))</f>
        <v/>
      </c>
      <c r="AI268" s="29" t="str">
        <f t="shared" ref="AI268:AJ268" si="277">IF(COUNTA(J268,O268,T268,Y268,AD268)=0,"",SUM(J268,O268,T268,Y268,AD268))</f>
        <v/>
      </c>
      <c r="AJ268" s="29" t="str">
        <f t="shared" si="277"/>
        <v/>
      </c>
      <c r="AK268" s="28" t="str">
        <f t="shared" si="15"/>
        <v/>
      </c>
      <c r="AL268" s="28" t="str">
        <f t="shared" si="16"/>
        <v/>
      </c>
      <c r="AM268" s="23" t="str">
        <f>IF(AL268="","",IF(AL268&gt;=Panduan!$B$4,"Terserap","Perlu Evaluasi"))</f>
        <v/>
      </c>
    </row>
    <row r="269" ht="15.75" customHeight="1">
      <c r="A269" s="23" t="str">
        <f t="shared" si="2"/>
        <v/>
      </c>
      <c r="B269" s="33"/>
      <c r="C269" s="23" t="str">
        <f t="shared" si="3"/>
        <v/>
      </c>
      <c r="D269" s="31"/>
      <c r="E269" s="31"/>
      <c r="F269" s="31"/>
      <c r="G269" s="31"/>
      <c r="H269" s="31"/>
      <c r="I269" s="32"/>
      <c r="J269" s="30"/>
      <c r="K269" s="30"/>
      <c r="L269" s="28" t="str">
        <f t="shared" si="4"/>
        <v/>
      </c>
      <c r="M269" s="28" t="str">
        <f t="shared" si="5"/>
        <v/>
      </c>
      <c r="N269" s="23" t="str">
        <f>IF(M269="","",IF(M269&gt;=Panduan!$B$4,"Terserap","Perlu Evaluasi"))</f>
        <v/>
      </c>
      <c r="O269" s="30"/>
      <c r="P269" s="30"/>
      <c r="Q269" s="28" t="str">
        <f t="shared" si="6"/>
        <v/>
      </c>
      <c r="R269" s="28" t="str">
        <f t="shared" si="7"/>
        <v/>
      </c>
      <c r="S269" s="23" t="str">
        <f>IF(R269="","",IF(R269&gt;=Panduan!$B$4,"Terserap","Perlu Evaluasi"))</f>
        <v/>
      </c>
      <c r="T269" s="30"/>
      <c r="U269" s="30"/>
      <c r="V269" s="28" t="str">
        <f t="shared" si="8"/>
        <v/>
      </c>
      <c r="W269" s="28" t="str">
        <f t="shared" si="9"/>
        <v/>
      </c>
      <c r="X269" s="23" t="str">
        <f>IF(W269="","",IF(W269&gt;=Panduan!$B$4,"Terserap","Perlu Evaluasi"))</f>
        <v/>
      </c>
      <c r="Y269" s="30"/>
      <c r="Z269" s="30"/>
      <c r="AA269" s="28" t="str">
        <f t="shared" si="10"/>
        <v/>
      </c>
      <c r="AB269" s="28" t="str">
        <f t="shared" si="11"/>
        <v/>
      </c>
      <c r="AC269" s="23" t="str">
        <f>IF(AB269="","",IF(AB269&gt;=Panduan!$B$4,"Terserap","Perlu Evaluasi"))</f>
        <v/>
      </c>
      <c r="AD269" s="30"/>
      <c r="AE269" s="30"/>
      <c r="AF269" s="28" t="str">
        <f t="shared" si="12"/>
        <v/>
      </c>
      <c r="AG269" s="28" t="str">
        <f t="shared" si="13"/>
        <v/>
      </c>
      <c r="AH269" s="23" t="str">
        <f>IF(AG269="","",IF(AG269&gt;=Panduan!$B$4,"Terserap","Perlu Evaluasi"))</f>
        <v/>
      </c>
      <c r="AI269" s="29" t="str">
        <f t="shared" ref="AI269:AJ269" si="278">IF(COUNTA(J269,O269,T269,Y269,AD269)=0,"",SUM(J269,O269,T269,Y269,AD269))</f>
        <v/>
      </c>
      <c r="AJ269" s="29" t="str">
        <f t="shared" si="278"/>
        <v/>
      </c>
      <c r="AK269" s="28" t="str">
        <f t="shared" si="15"/>
        <v/>
      </c>
      <c r="AL269" s="28" t="str">
        <f t="shared" si="16"/>
        <v/>
      </c>
      <c r="AM269" s="23" t="str">
        <f>IF(AL269="","",IF(AL269&gt;=Panduan!$B$4,"Terserap","Perlu Evaluasi"))</f>
        <v/>
      </c>
    </row>
    <row r="270" ht="15.75" customHeight="1">
      <c r="A270" s="23" t="str">
        <f t="shared" si="2"/>
        <v/>
      </c>
      <c r="B270" s="33"/>
      <c r="C270" s="23" t="str">
        <f t="shared" si="3"/>
        <v/>
      </c>
      <c r="D270" s="31"/>
      <c r="E270" s="31"/>
      <c r="F270" s="31"/>
      <c r="G270" s="31"/>
      <c r="H270" s="31"/>
      <c r="I270" s="32"/>
      <c r="J270" s="30"/>
      <c r="K270" s="30"/>
      <c r="L270" s="28" t="str">
        <f t="shared" si="4"/>
        <v/>
      </c>
      <c r="M270" s="28" t="str">
        <f t="shared" si="5"/>
        <v/>
      </c>
      <c r="N270" s="23" t="str">
        <f>IF(M270="","",IF(M270&gt;=Panduan!$B$4,"Terserap","Perlu Evaluasi"))</f>
        <v/>
      </c>
      <c r="O270" s="30"/>
      <c r="P270" s="30"/>
      <c r="Q270" s="28" t="str">
        <f t="shared" si="6"/>
        <v/>
      </c>
      <c r="R270" s="28" t="str">
        <f t="shared" si="7"/>
        <v/>
      </c>
      <c r="S270" s="23" t="str">
        <f>IF(R270="","",IF(R270&gt;=Panduan!$B$4,"Terserap","Perlu Evaluasi"))</f>
        <v/>
      </c>
      <c r="T270" s="30"/>
      <c r="U270" s="30"/>
      <c r="V270" s="28" t="str">
        <f t="shared" si="8"/>
        <v/>
      </c>
      <c r="W270" s="28" t="str">
        <f t="shared" si="9"/>
        <v/>
      </c>
      <c r="X270" s="23" t="str">
        <f>IF(W270="","",IF(W270&gt;=Panduan!$B$4,"Terserap","Perlu Evaluasi"))</f>
        <v/>
      </c>
      <c r="Y270" s="30"/>
      <c r="Z270" s="30"/>
      <c r="AA270" s="28" t="str">
        <f t="shared" si="10"/>
        <v/>
      </c>
      <c r="AB270" s="28" t="str">
        <f t="shared" si="11"/>
        <v/>
      </c>
      <c r="AC270" s="23" t="str">
        <f>IF(AB270="","",IF(AB270&gt;=Panduan!$B$4,"Terserap","Perlu Evaluasi"))</f>
        <v/>
      </c>
      <c r="AD270" s="30"/>
      <c r="AE270" s="30"/>
      <c r="AF270" s="28" t="str">
        <f t="shared" si="12"/>
        <v/>
      </c>
      <c r="AG270" s="28" t="str">
        <f t="shared" si="13"/>
        <v/>
      </c>
      <c r="AH270" s="23" t="str">
        <f>IF(AG270="","",IF(AG270&gt;=Panduan!$B$4,"Terserap","Perlu Evaluasi"))</f>
        <v/>
      </c>
      <c r="AI270" s="29" t="str">
        <f t="shared" ref="AI270:AJ270" si="279">IF(COUNTA(J270,O270,T270,Y270,AD270)=0,"",SUM(J270,O270,T270,Y270,AD270))</f>
        <v/>
      </c>
      <c r="AJ270" s="29" t="str">
        <f t="shared" si="279"/>
        <v/>
      </c>
      <c r="AK270" s="28" t="str">
        <f t="shared" si="15"/>
        <v/>
      </c>
      <c r="AL270" s="28" t="str">
        <f t="shared" si="16"/>
        <v/>
      </c>
      <c r="AM270" s="23" t="str">
        <f>IF(AL270="","",IF(AL270&gt;=Panduan!$B$4,"Terserap","Perlu Evaluasi"))</f>
        <v/>
      </c>
    </row>
    <row r="271" ht="15.75" customHeight="1">
      <c r="A271" s="23" t="str">
        <f t="shared" si="2"/>
        <v/>
      </c>
      <c r="B271" s="33"/>
      <c r="C271" s="23" t="str">
        <f t="shared" si="3"/>
        <v/>
      </c>
      <c r="D271" s="31"/>
      <c r="E271" s="31"/>
      <c r="F271" s="31"/>
      <c r="G271" s="31"/>
      <c r="H271" s="31"/>
      <c r="I271" s="32"/>
      <c r="J271" s="30"/>
      <c r="K271" s="30"/>
      <c r="L271" s="28" t="str">
        <f t="shared" si="4"/>
        <v/>
      </c>
      <c r="M271" s="28" t="str">
        <f t="shared" si="5"/>
        <v/>
      </c>
      <c r="N271" s="23" t="str">
        <f>IF(M271="","",IF(M271&gt;=Panduan!$B$4,"Terserap","Perlu Evaluasi"))</f>
        <v/>
      </c>
      <c r="O271" s="30"/>
      <c r="P271" s="30"/>
      <c r="Q271" s="28" t="str">
        <f t="shared" si="6"/>
        <v/>
      </c>
      <c r="R271" s="28" t="str">
        <f t="shared" si="7"/>
        <v/>
      </c>
      <c r="S271" s="23" t="str">
        <f>IF(R271="","",IF(R271&gt;=Panduan!$B$4,"Terserap","Perlu Evaluasi"))</f>
        <v/>
      </c>
      <c r="T271" s="30"/>
      <c r="U271" s="30"/>
      <c r="V271" s="28" t="str">
        <f t="shared" si="8"/>
        <v/>
      </c>
      <c r="W271" s="28" t="str">
        <f t="shared" si="9"/>
        <v/>
      </c>
      <c r="X271" s="23" t="str">
        <f>IF(W271="","",IF(W271&gt;=Panduan!$B$4,"Terserap","Perlu Evaluasi"))</f>
        <v/>
      </c>
      <c r="Y271" s="30"/>
      <c r="Z271" s="30"/>
      <c r="AA271" s="28" t="str">
        <f t="shared" si="10"/>
        <v/>
      </c>
      <c r="AB271" s="28" t="str">
        <f t="shared" si="11"/>
        <v/>
      </c>
      <c r="AC271" s="23" t="str">
        <f>IF(AB271="","",IF(AB271&gt;=Panduan!$B$4,"Terserap","Perlu Evaluasi"))</f>
        <v/>
      </c>
      <c r="AD271" s="30"/>
      <c r="AE271" s="30"/>
      <c r="AF271" s="28" t="str">
        <f t="shared" si="12"/>
        <v/>
      </c>
      <c r="AG271" s="28" t="str">
        <f t="shared" si="13"/>
        <v/>
      </c>
      <c r="AH271" s="23" t="str">
        <f>IF(AG271="","",IF(AG271&gt;=Panduan!$B$4,"Terserap","Perlu Evaluasi"))</f>
        <v/>
      </c>
      <c r="AI271" s="29" t="str">
        <f t="shared" ref="AI271:AJ271" si="280">IF(COUNTA(J271,O271,T271,Y271,AD271)=0,"",SUM(J271,O271,T271,Y271,AD271))</f>
        <v/>
      </c>
      <c r="AJ271" s="29" t="str">
        <f t="shared" si="280"/>
        <v/>
      </c>
      <c r="AK271" s="28" t="str">
        <f t="shared" si="15"/>
        <v/>
      </c>
      <c r="AL271" s="28" t="str">
        <f t="shared" si="16"/>
        <v/>
      </c>
      <c r="AM271" s="23" t="str">
        <f>IF(AL271="","",IF(AL271&gt;=Panduan!$B$4,"Terserap","Perlu Evaluasi"))</f>
        <v/>
      </c>
    </row>
    <row r="272" ht="15.75" customHeight="1">
      <c r="A272" s="23" t="str">
        <f t="shared" si="2"/>
        <v/>
      </c>
      <c r="B272" s="33"/>
      <c r="C272" s="23" t="str">
        <f t="shared" si="3"/>
        <v/>
      </c>
      <c r="D272" s="31"/>
      <c r="E272" s="31"/>
      <c r="F272" s="31"/>
      <c r="G272" s="31"/>
      <c r="H272" s="31"/>
      <c r="I272" s="32"/>
      <c r="J272" s="30"/>
      <c r="K272" s="30"/>
      <c r="L272" s="28" t="str">
        <f t="shared" si="4"/>
        <v/>
      </c>
      <c r="M272" s="28" t="str">
        <f t="shared" si="5"/>
        <v/>
      </c>
      <c r="N272" s="23" t="str">
        <f>IF(M272="","",IF(M272&gt;=Panduan!$B$4,"Terserap","Perlu Evaluasi"))</f>
        <v/>
      </c>
      <c r="O272" s="30"/>
      <c r="P272" s="30"/>
      <c r="Q272" s="28" t="str">
        <f t="shared" si="6"/>
        <v/>
      </c>
      <c r="R272" s="28" t="str">
        <f t="shared" si="7"/>
        <v/>
      </c>
      <c r="S272" s="23" t="str">
        <f>IF(R272="","",IF(R272&gt;=Panduan!$B$4,"Terserap","Perlu Evaluasi"))</f>
        <v/>
      </c>
      <c r="T272" s="30"/>
      <c r="U272" s="30"/>
      <c r="V272" s="28" t="str">
        <f t="shared" si="8"/>
        <v/>
      </c>
      <c r="W272" s="28" t="str">
        <f t="shared" si="9"/>
        <v/>
      </c>
      <c r="X272" s="23" t="str">
        <f>IF(W272="","",IF(W272&gt;=Panduan!$B$4,"Terserap","Perlu Evaluasi"))</f>
        <v/>
      </c>
      <c r="Y272" s="30"/>
      <c r="Z272" s="30"/>
      <c r="AA272" s="28" t="str">
        <f t="shared" si="10"/>
        <v/>
      </c>
      <c r="AB272" s="28" t="str">
        <f t="shared" si="11"/>
        <v/>
      </c>
      <c r="AC272" s="23" t="str">
        <f>IF(AB272="","",IF(AB272&gt;=Panduan!$B$4,"Terserap","Perlu Evaluasi"))</f>
        <v/>
      </c>
      <c r="AD272" s="30"/>
      <c r="AE272" s="30"/>
      <c r="AF272" s="28" t="str">
        <f t="shared" si="12"/>
        <v/>
      </c>
      <c r="AG272" s="28" t="str">
        <f t="shared" si="13"/>
        <v/>
      </c>
      <c r="AH272" s="23" t="str">
        <f>IF(AG272="","",IF(AG272&gt;=Panduan!$B$4,"Terserap","Perlu Evaluasi"))</f>
        <v/>
      </c>
      <c r="AI272" s="29" t="str">
        <f t="shared" ref="AI272:AJ272" si="281">IF(COUNTA(J272,O272,T272,Y272,AD272)=0,"",SUM(J272,O272,T272,Y272,AD272))</f>
        <v/>
      </c>
      <c r="AJ272" s="29" t="str">
        <f t="shared" si="281"/>
        <v/>
      </c>
      <c r="AK272" s="28" t="str">
        <f t="shared" si="15"/>
        <v/>
      </c>
      <c r="AL272" s="28" t="str">
        <f t="shared" si="16"/>
        <v/>
      </c>
      <c r="AM272" s="23" t="str">
        <f>IF(AL272="","",IF(AL272&gt;=Panduan!$B$4,"Terserap","Perlu Evaluasi"))</f>
        <v/>
      </c>
    </row>
    <row r="273" ht="15.75" customHeight="1">
      <c r="A273" s="23" t="str">
        <f t="shared" si="2"/>
        <v/>
      </c>
      <c r="B273" s="33"/>
      <c r="C273" s="23" t="str">
        <f t="shared" si="3"/>
        <v/>
      </c>
      <c r="D273" s="31"/>
      <c r="E273" s="31"/>
      <c r="F273" s="31"/>
      <c r="G273" s="31"/>
      <c r="H273" s="31"/>
      <c r="I273" s="32"/>
      <c r="J273" s="30"/>
      <c r="K273" s="30"/>
      <c r="L273" s="28" t="str">
        <f t="shared" si="4"/>
        <v/>
      </c>
      <c r="M273" s="28" t="str">
        <f t="shared" si="5"/>
        <v/>
      </c>
      <c r="N273" s="23" t="str">
        <f>IF(M273="","",IF(M273&gt;=Panduan!$B$4,"Terserap","Perlu Evaluasi"))</f>
        <v/>
      </c>
      <c r="O273" s="30"/>
      <c r="P273" s="30"/>
      <c r="Q273" s="28" t="str">
        <f t="shared" si="6"/>
        <v/>
      </c>
      <c r="R273" s="28" t="str">
        <f t="shared" si="7"/>
        <v/>
      </c>
      <c r="S273" s="23" t="str">
        <f>IF(R273="","",IF(R273&gt;=Panduan!$B$4,"Terserap","Perlu Evaluasi"))</f>
        <v/>
      </c>
      <c r="T273" s="30"/>
      <c r="U273" s="30"/>
      <c r="V273" s="28" t="str">
        <f t="shared" si="8"/>
        <v/>
      </c>
      <c r="W273" s="28" t="str">
        <f t="shared" si="9"/>
        <v/>
      </c>
      <c r="X273" s="23" t="str">
        <f>IF(W273="","",IF(W273&gt;=Panduan!$B$4,"Terserap","Perlu Evaluasi"))</f>
        <v/>
      </c>
      <c r="Y273" s="30"/>
      <c r="Z273" s="30"/>
      <c r="AA273" s="28" t="str">
        <f t="shared" si="10"/>
        <v/>
      </c>
      <c r="AB273" s="28" t="str">
        <f t="shared" si="11"/>
        <v/>
      </c>
      <c r="AC273" s="23" t="str">
        <f>IF(AB273="","",IF(AB273&gt;=Panduan!$B$4,"Terserap","Perlu Evaluasi"))</f>
        <v/>
      </c>
      <c r="AD273" s="30"/>
      <c r="AE273" s="30"/>
      <c r="AF273" s="28" t="str">
        <f t="shared" si="12"/>
        <v/>
      </c>
      <c r="AG273" s="28" t="str">
        <f t="shared" si="13"/>
        <v/>
      </c>
      <c r="AH273" s="23" t="str">
        <f>IF(AG273="","",IF(AG273&gt;=Panduan!$B$4,"Terserap","Perlu Evaluasi"))</f>
        <v/>
      </c>
      <c r="AI273" s="29" t="str">
        <f t="shared" ref="AI273:AJ273" si="282">IF(COUNTA(J273,O273,T273,Y273,AD273)=0,"",SUM(J273,O273,T273,Y273,AD273))</f>
        <v/>
      </c>
      <c r="AJ273" s="29" t="str">
        <f t="shared" si="282"/>
        <v/>
      </c>
      <c r="AK273" s="28" t="str">
        <f t="shared" si="15"/>
        <v/>
      </c>
      <c r="AL273" s="28" t="str">
        <f t="shared" si="16"/>
        <v/>
      </c>
      <c r="AM273" s="23" t="str">
        <f>IF(AL273="","",IF(AL273&gt;=Panduan!$B$4,"Terserap","Perlu Evaluasi"))</f>
        <v/>
      </c>
    </row>
    <row r="274" ht="15.75" customHeight="1">
      <c r="A274" s="23" t="str">
        <f t="shared" si="2"/>
        <v/>
      </c>
      <c r="B274" s="33"/>
      <c r="C274" s="23" t="str">
        <f t="shared" si="3"/>
        <v/>
      </c>
      <c r="D274" s="31"/>
      <c r="E274" s="31"/>
      <c r="F274" s="31"/>
      <c r="G274" s="31"/>
      <c r="H274" s="31"/>
      <c r="I274" s="32"/>
      <c r="J274" s="30"/>
      <c r="K274" s="30"/>
      <c r="L274" s="28" t="str">
        <f t="shared" si="4"/>
        <v/>
      </c>
      <c r="M274" s="28" t="str">
        <f t="shared" si="5"/>
        <v/>
      </c>
      <c r="N274" s="23" t="str">
        <f>IF(M274="","",IF(M274&gt;=Panduan!$B$4,"Terserap","Perlu Evaluasi"))</f>
        <v/>
      </c>
      <c r="O274" s="30"/>
      <c r="P274" s="30"/>
      <c r="Q274" s="28" t="str">
        <f t="shared" si="6"/>
        <v/>
      </c>
      <c r="R274" s="28" t="str">
        <f t="shared" si="7"/>
        <v/>
      </c>
      <c r="S274" s="23" t="str">
        <f>IF(R274="","",IF(R274&gt;=Panduan!$B$4,"Terserap","Perlu Evaluasi"))</f>
        <v/>
      </c>
      <c r="T274" s="30"/>
      <c r="U274" s="30"/>
      <c r="V274" s="28" t="str">
        <f t="shared" si="8"/>
        <v/>
      </c>
      <c r="W274" s="28" t="str">
        <f t="shared" si="9"/>
        <v/>
      </c>
      <c r="X274" s="23" t="str">
        <f>IF(W274="","",IF(W274&gt;=Panduan!$B$4,"Terserap","Perlu Evaluasi"))</f>
        <v/>
      </c>
      <c r="Y274" s="30"/>
      <c r="Z274" s="30"/>
      <c r="AA274" s="28" t="str">
        <f t="shared" si="10"/>
        <v/>
      </c>
      <c r="AB274" s="28" t="str">
        <f t="shared" si="11"/>
        <v/>
      </c>
      <c r="AC274" s="23" t="str">
        <f>IF(AB274="","",IF(AB274&gt;=Panduan!$B$4,"Terserap","Perlu Evaluasi"))</f>
        <v/>
      </c>
      <c r="AD274" s="30"/>
      <c r="AE274" s="30"/>
      <c r="AF274" s="28" t="str">
        <f t="shared" si="12"/>
        <v/>
      </c>
      <c r="AG274" s="28" t="str">
        <f t="shared" si="13"/>
        <v/>
      </c>
      <c r="AH274" s="23" t="str">
        <f>IF(AG274="","",IF(AG274&gt;=Panduan!$B$4,"Terserap","Perlu Evaluasi"))</f>
        <v/>
      </c>
      <c r="AI274" s="29" t="str">
        <f t="shared" ref="AI274:AJ274" si="283">IF(COUNTA(J274,O274,T274,Y274,AD274)=0,"",SUM(J274,O274,T274,Y274,AD274))</f>
        <v/>
      </c>
      <c r="AJ274" s="29" t="str">
        <f t="shared" si="283"/>
        <v/>
      </c>
      <c r="AK274" s="28" t="str">
        <f t="shared" si="15"/>
        <v/>
      </c>
      <c r="AL274" s="28" t="str">
        <f t="shared" si="16"/>
        <v/>
      </c>
      <c r="AM274" s="23" t="str">
        <f>IF(AL274="","",IF(AL274&gt;=Panduan!$B$4,"Terserap","Perlu Evaluasi"))</f>
        <v/>
      </c>
    </row>
    <row r="275" ht="15.75" customHeight="1">
      <c r="A275" s="23" t="str">
        <f t="shared" si="2"/>
        <v/>
      </c>
      <c r="B275" s="33"/>
      <c r="C275" s="23" t="str">
        <f t="shared" si="3"/>
        <v/>
      </c>
      <c r="D275" s="31"/>
      <c r="E275" s="31"/>
      <c r="F275" s="31"/>
      <c r="G275" s="31"/>
      <c r="H275" s="31"/>
      <c r="I275" s="32"/>
      <c r="J275" s="30"/>
      <c r="K275" s="30"/>
      <c r="L275" s="28" t="str">
        <f t="shared" si="4"/>
        <v/>
      </c>
      <c r="M275" s="28" t="str">
        <f t="shared" si="5"/>
        <v/>
      </c>
      <c r="N275" s="23" t="str">
        <f>IF(M275="","",IF(M275&gt;=Panduan!$B$4,"Terserap","Perlu Evaluasi"))</f>
        <v/>
      </c>
      <c r="O275" s="30"/>
      <c r="P275" s="30"/>
      <c r="Q275" s="28" t="str">
        <f t="shared" si="6"/>
        <v/>
      </c>
      <c r="R275" s="28" t="str">
        <f t="shared" si="7"/>
        <v/>
      </c>
      <c r="S275" s="23" t="str">
        <f>IF(R275="","",IF(R275&gt;=Panduan!$B$4,"Terserap","Perlu Evaluasi"))</f>
        <v/>
      </c>
      <c r="T275" s="30"/>
      <c r="U275" s="30"/>
      <c r="V275" s="28" t="str">
        <f t="shared" si="8"/>
        <v/>
      </c>
      <c r="W275" s="28" t="str">
        <f t="shared" si="9"/>
        <v/>
      </c>
      <c r="X275" s="23" t="str">
        <f>IF(W275="","",IF(W275&gt;=Panduan!$B$4,"Terserap","Perlu Evaluasi"))</f>
        <v/>
      </c>
      <c r="Y275" s="30"/>
      <c r="Z275" s="30"/>
      <c r="AA275" s="28" t="str">
        <f t="shared" si="10"/>
        <v/>
      </c>
      <c r="AB275" s="28" t="str">
        <f t="shared" si="11"/>
        <v/>
      </c>
      <c r="AC275" s="23" t="str">
        <f>IF(AB275="","",IF(AB275&gt;=Panduan!$B$4,"Terserap","Perlu Evaluasi"))</f>
        <v/>
      </c>
      <c r="AD275" s="30"/>
      <c r="AE275" s="30"/>
      <c r="AF275" s="28" t="str">
        <f t="shared" si="12"/>
        <v/>
      </c>
      <c r="AG275" s="28" t="str">
        <f t="shared" si="13"/>
        <v/>
      </c>
      <c r="AH275" s="23" t="str">
        <f>IF(AG275="","",IF(AG275&gt;=Panduan!$B$4,"Terserap","Perlu Evaluasi"))</f>
        <v/>
      </c>
      <c r="AI275" s="29" t="str">
        <f t="shared" ref="AI275:AJ275" si="284">IF(COUNTA(J275,O275,T275,Y275,AD275)=0,"",SUM(J275,O275,T275,Y275,AD275))</f>
        <v/>
      </c>
      <c r="AJ275" s="29" t="str">
        <f t="shared" si="284"/>
        <v/>
      </c>
      <c r="AK275" s="28" t="str">
        <f t="shared" si="15"/>
        <v/>
      </c>
      <c r="AL275" s="28" t="str">
        <f t="shared" si="16"/>
        <v/>
      </c>
      <c r="AM275" s="23" t="str">
        <f>IF(AL275="","",IF(AL275&gt;=Panduan!$B$4,"Terserap","Perlu Evaluasi"))</f>
        <v/>
      </c>
    </row>
    <row r="276" ht="15.75" customHeight="1">
      <c r="A276" s="23" t="str">
        <f t="shared" si="2"/>
        <v/>
      </c>
      <c r="B276" s="33"/>
      <c r="C276" s="23" t="str">
        <f t="shared" si="3"/>
        <v/>
      </c>
      <c r="D276" s="31"/>
      <c r="E276" s="31"/>
      <c r="F276" s="31"/>
      <c r="G276" s="31"/>
      <c r="H276" s="31"/>
      <c r="I276" s="32"/>
      <c r="J276" s="30"/>
      <c r="K276" s="30"/>
      <c r="L276" s="28" t="str">
        <f t="shared" si="4"/>
        <v/>
      </c>
      <c r="M276" s="28" t="str">
        <f t="shared" si="5"/>
        <v/>
      </c>
      <c r="N276" s="23" t="str">
        <f>IF(M276="","",IF(M276&gt;=Panduan!$B$4,"Terserap","Perlu Evaluasi"))</f>
        <v/>
      </c>
      <c r="O276" s="30"/>
      <c r="P276" s="30"/>
      <c r="Q276" s="28" t="str">
        <f t="shared" si="6"/>
        <v/>
      </c>
      <c r="R276" s="28" t="str">
        <f t="shared" si="7"/>
        <v/>
      </c>
      <c r="S276" s="23" t="str">
        <f>IF(R276="","",IF(R276&gt;=Panduan!$B$4,"Terserap","Perlu Evaluasi"))</f>
        <v/>
      </c>
      <c r="T276" s="30"/>
      <c r="U276" s="30"/>
      <c r="V276" s="28" t="str">
        <f t="shared" si="8"/>
        <v/>
      </c>
      <c r="W276" s="28" t="str">
        <f t="shared" si="9"/>
        <v/>
      </c>
      <c r="X276" s="23" t="str">
        <f>IF(W276="","",IF(W276&gt;=Panduan!$B$4,"Terserap","Perlu Evaluasi"))</f>
        <v/>
      </c>
      <c r="Y276" s="30"/>
      <c r="Z276" s="30"/>
      <c r="AA276" s="28" t="str">
        <f t="shared" si="10"/>
        <v/>
      </c>
      <c r="AB276" s="28" t="str">
        <f t="shared" si="11"/>
        <v/>
      </c>
      <c r="AC276" s="23" t="str">
        <f>IF(AB276="","",IF(AB276&gt;=Panduan!$B$4,"Terserap","Perlu Evaluasi"))</f>
        <v/>
      </c>
      <c r="AD276" s="30"/>
      <c r="AE276" s="30"/>
      <c r="AF276" s="28" t="str">
        <f t="shared" si="12"/>
        <v/>
      </c>
      <c r="AG276" s="28" t="str">
        <f t="shared" si="13"/>
        <v/>
      </c>
      <c r="AH276" s="23" t="str">
        <f>IF(AG276="","",IF(AG276&gt;=Panduan!$B$4,"Terserap","Perlu Evaluasi"))</f>
        <v/>
      </c>
      <c r="AI276" s="29" t="str">
        <f t="shared" ref="AI276:AJ276" si="285">IF(COUNTA(J276,O276,T276,Y276,AD276)=0,"",SUM(J276,O276,T276,Y276,AD276))</f>
        <v/>
      </c>
      <c r="AJ276" s="29" t="str">
        <f t="shared" si="285"/>
        <v/>
      </c>
      <c r="AK276" s="28" t="str">
        <f t="shared" si="15"/>
        <v/>
      </c>
      <c r="AL276" s="28" t="str">
        <f t="shared" si="16"/>
        <v/>
      </c>
      <c r="AM276" s="23" t="str">
        <f>IF(AL276="","",IF(AL276&gt;=Panduan!$B$4,"Terserap","Perlu Evaluasi"))</f>
        <v/>
      </c>
    </row>
    <row r="277" ht="15.75" customHeight="1">
      <c r="A277" s="23" t="str">
        <f t="shared" si="2"/>
        <v/>
      </c>
      <c r="B277" s="33"/>
      <c r="C277" s="23" t="str">
        <f t="shared" si="3"/>
        <v/>
      </c>
      <c r="D277" s="31"/>
      <c r="E277" s="31"/>
      <c r="F277" s="31"/>
      <c r="G277" s="31"/>
      <c r="H277" s="31"/>
      <c r="I277" s="32"/>
      <c r="J277" s="30"/>
      <c r="K277" s="30"/>
      <c r="L277" s="28" t="str">
        <f t="shared" si="4"/>
        <v/>
      </c>
      <c r="M277" s="28" t="str">
        <f t="shared" si="5"/>
        <v/>
      </c>
      <c r="N277" s="23" t="str">
        <f>IF(M277="","",IF(M277&gt;=Panduan!$B$4,"Terserap","Perlu Evaluasi"))</f>
        <v/>
      </c>
      <c r="O277" s="30"/>
      <c r="P277" s="30"/>
      <c r="Q277" s="28" t="str">
        <f t="shared" si="6"/>
        <v/>
      </c>
      <c r="R277" s="28" t="str">
        <f t="shared" si="7"/>
        <v/>
      </c>
      <c r="S277" s="23" t="str">
        <f>IF(R277="","",IF(R277&gt;=Panduan!$B$4,"Terserap","Perlu Evaluasi"))</f>
        <v/>
      </c>
      <c r="T277" s="30"/>
      <c r="U277" s="30"/>
      <c r="V277" s="28" t="str">
        <f t="shared" si="8"/>
        <v/>
      </c>
      <c r="W277" s="28" t="str">
        <f t="shared" si="9"/>
        <v/>
      </c>
      <c r="X277" s="23" t="str">
        <f>IF(W277="","",IF(W277&gt;=Panduan!$B$4,"Terserap","Perlu Evaluasi"))</f>
        <v/>
      </c>
      <c r="Y277" s="30"/>
      <c r="Z277" s="30"/>
      <c r="AA277" s="28" t="str">
        <f t="shared" si="10"/>
        <v/>
      </c>
      <c r="AB277" s="28" t="str">
        <f t="shared" si="11"/>
        <v/>
      </c>
      <c r="AC277" s="23" t="str">
        <f>IF(AB277="","",IF(AB277&gt;=Panduan!$B$4,"Terserap","Perlu Evaluasi"))</f>
        <v/>
      </c>
      <c r="AD277" s="30"/>
      <c r="AE277" s="30"/>
      <c r="AF277" s="28" t="str">
        <f t="shared" si="12"/>
        <v/>
      </c>
      <c r="AG277" s="28" t="str">
        <f t="shared" si="13"/>
        <v/>
      </c>
      <c r="AH277" s="23" t="str">
        <f>IF(AG277="","",IF(AG277&gt;=Panduan!$B$4,"Terserap","Perlu Evaluasi"))</f>
        <v/>
      </c>
      <c r="AI277" s="29" t="str">
        <f t="shared" ref="AI277:AJ277" si="286">IF(COUNTA(J277,O277,T277,Y277,AD277)=0,"",SUM(J277,O277,T277,Y277,AD277))</f>
        <v/>
      </c>
      <c r="AJ277" s="29" t="str">
        <f t="shared" si="286"/>
        <v/>
      </c>
      <c r="AK277" s="28" t="str">
        <f t="shared" si="15"/>
        <v/>
      </c>
      <c r="AL277" s="28" t="str">
        <f t="shared" si="16"/>
        <v/>
      </c>
      <c r="AM277" s="23" t="str">
        <f>IF(AL277="","",IF(AL277&gt;=Panduan!$B$4,"Terserap","Perlu Evaluasi"))</f>
        <v/>
      </c>
    </row>
    <row r="278" ht="15.75" customHeight="1">
      <c r="A278" s="23" t="str">
        <f t="shared" si="2"/>
        <v/>
      </c>
      <c r="B278" s="33"/>
      <c r="C278" s="23" t="str">
        <f t="shared" si="3"/>
        <v/>
      </c>
      <c r="D278" s="31"/>
      <c r="E278" s="31"/>
      <c r="F278" s="31"/>
      <c r="G278" s="31"/>
      <c r="H278" s="31"/>
      <c r="I278" s="32"/>
      <c r="J278" s="30"/>
      <c r="K278" s="30"/>
      <c r="L278" s="28" t="str">
        <f t="shared" si="4"/>
        <v/>
      </c>
      <c r="M278" s="28" t="str">
        <f t="shared" si="5"/>
        <v/>
      </c>
      <c r="N278" s="23" t="str">
        <f>IF(M278="","",IF(M278&gt;=Panduan!$B$4,"Terserap","Perlu Evaluasi"))</f>
        <v/>
      </c>
      <c r="O278" s="30"/>
      <c r="P278" s="30"/>
      <c r="Q278" s="28" t="str">
        <f t="shared" si="6"/>
        <v/>
      </c>
      <c r="R278" s="28" t="str">
        <f t="shared" si="7"/>
        <v/>
      </c>
      <c r="S278" s="23" t="str">
        <f>IF(R278="","",IF(R278&gt;=Panduan!$B$4,"Terserap","Perlu Evaluasi"))</f>
        <v/>
      </c>
      <c r="T278" s="30"/>
      <c r="U278" s="30"/>
      <c r="V278" s="28" t="str">
        <f t="shared" si="8"/>
        <v/>
      </c>
      <c r="W278" s="28" t="str">
        <f t="shared" si="9"/>
        <v/>
      </c>
      <c r="X278" s="23" t="str">
        <f>IF(W278="","",IF(W278&gt;=Panduan!$B$4,"Terserap","Perlu Evaluasi"))</f>
        <v/>
      </c>
      <c r="Y278" s="30"/>
      <c r="Z278" s="30"/>
      <c r="AA278" s="28" t="str">
        <f t="shared" si="10"/>
        <v/>
      </c>
      <c r="AB278" s="28" t="str">
        <f t="shared" si="11"/>
        <v/>
      </c>
      <c r="AC278" s="23" t="str">
        <f>IF(AB278="","",IF(AB278&gt;=Panduan!$B$4,"Terserap","Perlu Evaluasi"))</f>
        <v/>
      </c>
      <c r="AD278" s="30"/>
      <c r="AE278" s="30"/>
      <c r="AF278" s="28" t="str">
        <f t="shared" si="12"/>
        <v/>
      </c>
      <c r="AG278" s="28" t="str">
        <f t="shared" si="13"/>
        <v/>
      </c>
      <c r="AH278" s="23" t="str">
        <f>IF(AG278="","",IF(AG278&gt;=Panduan!$B$4,"Terserap","Perlu Evaluasi"))</f>
        <v/>
      </c>
      <c r="AI278" s="29" t="str">
        <f t="shared" ref="AI278:AJ278" si="287">IF(COUNTA(J278,O278,T278,Y278,AD278)=0,"",SUM(J278,O278,T278,Y278,AD278))</f>
        <v/>
      </c>
      <c r="AJ278" s="29" t="str">
        <f t="shared" si="287"/>
        <v/>
      </c>
      <c r="AK278" s="28" t="str">
        <f t="shared" si="15"/>
        <v/>
      </c>
      <c r="AL278" s="28" t="str">
        <f t="shared" si="16"/>
        <v/>
      </c>
      <c r="AM278" s="23" t="str">
        <f>IF(AL278="","",IF(AL278&gt;=Panduan!$B$4,"Terserap","Perlu Evaluasi"))</f>
        <v/>
      </c>
    </row>
    <row r="279" ht="15.75" customHeight="1">
      <c r="A279" s="23" t="str">
        <f t="shared" si="2"/>
        <v/>
      </c>
      <c r="B279" s="33"/>
      <c r="C279" s="23" t="str">
        <f t="shared" si="3"/>
        <v/>
      </c>
      <c r="D279" s="31"/>
      <c r="E279" s="31"/>
      <c r="F279" s="31"/>
      <c r="G279" s="31"/>
      <c r="H279" s="31"/>
      <c r="I279" s="32"/>
      <c r="J279" s="30"/>
      <c r="K279" s="30"/>
      <c r="L279" s="28" t="str">
        <f t="shared" si="4"/>
        <v/>
      </c>
      <c r="M279" s="28" t="str">
        <f t="shared" si="5"/>
        <v/>
      </c>
      <c r="N279" s="23" t="str">
        <f>IF(M279="","",IF(M279&gt;=Panduan!$B$4,"Terserap","Perlu Evaluasi"))</f>
        <v/>
      </c>
      <c r="O279" s="30"/>
      <c r="P279" s="30"/>
      <c r="Q279" s="28" t="str">
        <f t="shared" si="6"/>
        <v/>
      </c>
      <c r="R279" s="28" t="str">
        <f t="shared" si="7"/>
        <v/>
      </c>
      <c r="S279" s="23" t="str">
        <f>IF(R279="","",IF(R279&gt;=Panduan!$B$4,"Terserap","Perlu Evaluasi"))</f>
        <v/>
      </c>
      <c r="T279" s="30"/>
      <c r="U279" s="30"/>
      <c r="V279" s="28" t="str">
        <f t="shared" si="8"/>
        <v/>
      </c>
      <c r="W279" s="28" t="str">
        <f t="shared" si="9"/>
        <v/>
      </c>
      <c r="X279" s="23" t="str">
        <f>IF(W279="","",IF(W279&gt;=Panduan!$B$4,"Terserap","Perlu Evaluasi"))</f>
        <v/>
      </c>
      <c r="Y279" s="30"/>
      <c r="Z279" s="30"/>
      <c r="AA279" s="28" t="str">
        <f t="shared" si="10"/>
        <v/>
      </c>
      <c r="AB279" s="28" t="str">
        <f t="shared" si="11"/>
        <v/>
      </c>
      <c r="AC279" s="23" t="str">
        <f>IF(AB279="","",IF(AB279&gt;=Panduan!$B$4,"Terserap","Perlu Evaluasi"))</f>
        <v/>
      </c>
      <c r="AD279" s="30"/>
      <c r="AE279" s="30"/>
      <c r="AF279" s="28" t="str">
        <f t="shared" si="12"/>
        <v/>
      </c>
      <c r="AG279" s="28" t="str">
        <f t="shared" si="13"/>
        <v/>
      </c>
      <c r="AH279" s="23" t="str">
        <f>IF(AG279="","",IF(AG279&gt;=Panduan!$B$4,"Terserap","Perlu Evaluasi"))</f>
        <v/>
      </c>
      <c r="AI279" s="29" t="str">
        <f t="shared" ref="AI279:AJ279" si="288">IF(COUNTA(J279,O279,T279,Y279,AD279)=0,"",SUM(J279,O279,T279,Y279,AD279))</f>
        <v/>
      </c>
      <c r="AJ279" s="29" t="str">
        <f t="shared" si="288"/>
        <v/>
      </c>
      <c r="AK279" s="28" t="str">
        <f t="shared" si="15"/>
        <v/>
      </c>
      <c r="AL279" s="28" t="str">
        <f t="shared" si="16"/>
        <v/>
      </c>
      <c r="AM279" s="23" t="str">
        <f>IF(AL279="","",IF(AL279&gt;=Panduan!$B$4,"Terserap","Perlu Evaluasi"))</f>
        <v/>
      </c>
    </row>
    <row r="280" ht="15.75" customHeight="1">
      <c r="A280" s="23" t="str">
        <f t="shared" si="2"/>
        <v/>
      </c>
      <c r="B280" s="33"/>
      <c r="C280" s="23" t="str">
        <f t="shared" si="3"/>
        <v/>
      </c>
      <c r="D280" s="31"/>
      <c r="E280" s="31"/>
      <c r="F280" s="31"/>
      <c r="G280" s="31"/>
      <c r="H280" s="31"/>
      <c r="I280" s="32"/>
      <c r="J280" s="30"/>
      <c r="K280" s="30"/>
      <c r="L280" s="28" t="str">
        <f t="shared" si="4"/>
        <v/>
      </c>
      <c r="M280" s="28" t="str">
        <f t="shared" si="5"/>
        <v/>
      </c>
      <c r="N280" s="23" t="str">
        <f>IF(M280="","",IF(M280&gt;=Panduan!$B$4,"Terserap","Perlu Evaluasi"))</f>
        <v/>
      </c>
      <c r="O280" s="30"/>
      <c r="P280" s="30"/>
      <c r="Q280" s="28" t="str">
        <f t="shared" si="6"/>
        <v/>
      </c>
      <c r="R280" s="28" t="str">
        <f t="shared" si="7"/>
        <v/>
      </c>
      <c r="S280" s="23" t="str">
        <f>IF(R280="","",IF(R280&gt;=Panduan!$B$4,"Terserap","Perlu Evaluasi"))</f>
        <v/>
      </c>
      <c r="T280" s="30"/>
      <c r="U280" s="30"/>
      <c r="V280" s="28" t="str">
        <f t="shared" si="8"/>
        <v/>
      </c>
      <c r="W280" s="28" t="str">
        <f t="shared" si="9"/>
        <v/>
      </c>
      <c r="X280" s="23" t="str">
        <f>IF(W280="","",IF(W280&gt;=Panduan!$B$4,"Terserap","Perlu Evaluasi"))</f>
        <v/>
      </c>
      <c r="Y280" s="30"/>
      <c r="Z280" s="30"/>
      <c r="AA280" s="28" t="str">
        <f t="shared" si="10"/>
        <v/>
      </c>
      <c r="AB280" s="28" t="str">
        <f t="shared" si="11"/>
        <v/>
      </c>
      <c r="AC280" s="23" t="str">
        <f>IF(AB280="","",IF(AB280&gt;=Panduan!$B$4,"Terserap","Perlu Evaluasi"))</f>
        <v/>
      </c>
      <c r="AD280" s="30"/>
      <c r="AE280" s="30"/>
      <c r="AF280" s="28" t="str">
        <f t="shared" si="12"/>
        <v/>
      </c>
      <c r="AG280" s="28" t="str">
        <f t="shared" si="13"/>
        <v/>
      </c>
      <c r="AH280" s="23" t="str">
        <f>IF(AG280="","",IF(AG280&gt;=Panduan!$B$4,"Terserap","Perlu Evaluasi"))</f>
        <v/>
      </c>
      <c r="AI280" s="29" t="str">
        <f t="shared" ref="AI280:AJ280" si="289">IF(COUNTA(J280,O280,T280,Y280,AD280)=0,"",SUM(J280,O280,T280,Y280,AD280))</f>
        <v/>
      </c>
      <c r="AJ280" s="29" t="str">
        <f t="shared" si="289"/>
        <v/>
      </c>
      <c r="AK280" s="28" t="str">
        <f t="shared" si="15"/>
        <v/>
      </c>
      <c r="AL280" s="28" t="str">
        <f t="shared" si="16"/>
        <v/>
      </c>
      <c r="AM280" s="23" t="str">
        <f>IF(AL280="","",IF(AL280&gt;=Panduan!$B$4,"Terserap","Perlu Evaluasi"))</f>
        <v/>
      </c>
    </row>
    <row r="281" ht="15.75" customHeight="1">
      <c r="A281" s="23" t="str">
        <f t="shared" si="2"/>
        <v/>
      </c>
      <c r="B281" s="33"/>
      <c r="C281" s="23" t="str">
        <f t="shared" si="3"/>
        <v/>
      </c>
      <c r="D281" s="31"/>
      <c r="E281" s="31"/>
      <c r="F281" s="31"/>
      <c r="G281" s="31"/>
      <c r="H281" s="31"/>
      <c r="I281" s="32"/>
      <c r="J281" s="30"/>
      <c r="K281" s="30"/>
      <c r="L281" s="28" t="str">
        <f t="shared" si="4"/>
        <v/>
      </c>
      <c r="M281" s="28" t="str">
        <f t="shared" si="5"/>
        <v/>
      </c>
      <c r="N281" s="23" t="str">
        <f>IF(M281="","",IF(M281&gt;=Panduan!$B$4,"Terserap","Perlu Evaluasi"))</f>
        <v/>
      </c>
      <c r="O281" s="30"/>
      <c r="P281" s="30"/>
      <c r="Q281" s="28" t="str">
        <f t="shared" si="6"/>
        <v/>
      </c>
      <c r="R281" s="28" t="str">
        <f t="shared" si="7"/>
        <v/>
      </c>
      <c r="S281" s="23" t="str">
        <f>IF(R281="","",IF(R281&gt;=Panduan!$B$4,"Terserap","Perlu Evaluasi"))</f>
        <v/>
      </c>
      <c r="T281" s="30"/>
      <c r="U281" s="30"/>
      <c r="V281" s="28" t="str">
        <f t="shared" si="8"/>
        <v/>
      </c>
      <c r="W281" s="28" t="str">
        <f t="shared" si="9"/>
        <v/>
      </c>
      <c r="X281" s="23" t="str">
        <f>IF(W281="","",IF(W281&gt;=Panduan!$B$4,"Terserap","Perlu Evaluasi"))</f>
        <v/>
      </c>
      <c r="Y281" s="30"/>
      <c r="Z281" s="30"/>
      <c r="AA281" s="28" t="str">
        <f t="shared" si="10"/>
        <v/>
      </c>
      <c r="AB281" s="28" t="str">
        <f t="shared" si="11"/>
        <v/>
      </c>
      <c r="AC281" s="23" t="str">
        <f>IF(AB281="","",IF(AB281&gt;=Panduan!$B$4,"Terserap","Perlu Evaluasi"))</f>
        <v/>
      </c>
      <c r="AD281" s="30"/>
      <c r="AE281" s="30"/>
      <c r="AF281" s="28" t="str">
        <f t="shared" si="12"/>
        <v/>
      </c>
      <c r="AG281" s="28" t="str">
        <f t="shared" si="13"/>
        <v/>
      </c>
      <c r="AH281" s="23" t="str">
        <f>IF(AG281="","",IF(AG281&gt;=Panduan!$B$4,"Terserap","Perlu Evaluasi"))</f>
        <v/>
      </c>
      <c r="AI281" s="29" t="str">
        <f t="shared" ref="AI281:AJ281" si="290">IF(COUNTA(J281,O281,T281,Y281,AD281)=0,"",SUM(J281,O281,T281,Y281,AD281))</f>
        <v/>
      </c>
      <c r="AJ281" s="29" t="str">
        <f t="shared" si="290"/>
        <v/>
      </c>
      <c r="AK281" s="28" t="str">
        <f t="shared" si="15"/>
        <v/>
      </c>
      <c r="AL281" s="28" t="str">
        <f t="shared" si="16"/>
        <v/>
      </c>
      <c r="AM281" s="23" t="str">
        <f>IF(AL281="","",IF(AL281&gt;=Panduan!$B$4,"Terserap","Perlu Evaluasi"))</f>
        <v/>
      </c>
    </row>
    <row r="282" ht="15.75" customHeight="1">
      <c r="A282" s="23" t="str">
        <f t="shared" si="2"/>
        <v/>
      </c>
      <c r="B282" s="33"/>
      <c r="C282" s="23" t="str">
        <f t="shared" si="3"/>
        <v/>
      </c>
      <c r="D282" s="31"/>
      <c r="E282" s="31"/>
      <c r="F282" s="31"/>
      <c r="G282" s="31"/>
      <c r="H282" s="31"/>
      <c r="I282" s="32"/>
      <c r="J282" s="30"/>
      <c r="K282" s="30"/>
      <c r="L282" s="28" t="str">
        <f t="shared" si="4"/>
        <v/>
      </c>
      <c r="M282" s="28" t="str">
        <f t="shared" si="5"/>
        <v/>
      </c>
      <c r="N282" s="23" t="str">
        <f>IF(M282="","",IF(M282&gt;=Panduan!$B$4,"Terserap","Perlu Evaluasi"))</f>
        <v/>
      </c>
      <c r="O282" s="30"/>
      <c r="P282" s="30"/>
      <c r="Q282" s="28" t="str">
        <f t="shared" si="6"/>
        <v/>
      </c>
      <c r="R282" s="28" t="str">
        <f t="shared" si="7"/>
        <v/>
      </c>
      <c r="S282" s="23" t="str">
        <f>IF(R282="","",IF(R282&gt;=Panduan!$B$4,"Terserap","Perlu Evaluasi"))</f>
        <v/>
      </c>
      <c r="T282" s="30"/>
      <c r="U282" s="30"/>
      <c r="V282" s="28" t="str">
        <f t="shared" si="8"/>
        <v/>
      </c>
      <c r="W282" s="28" t="str">
        <f t="shared" si="9"/>
        <v/>
      </c>
      <c r="X282" s="23" t="str">
        <f>IF(W282="","",IF(W282&gt;=Panduan!$B$4,"Terserap","Perlu Evaluasi"))</f>
        <v/>
      </c>
      <c r="Y282" s="30"/>
      <c r="Z282" s="30"/>
      <c r="AA282" s="28" t="str">
        <f t="shared" si="10"/>
        <v/>
      </c>
      <c r="AB282" s="28" t="str">
        <f t="shared" si="11"/>
        <v/>
      </c>
      <c r="AC282" s="23" t="str">
        <f>IF(AB282="","",IF(AB282&gt;=Panduan!$B$4,"Terserap","Perlu Evaluasi"))</f>
        <v/>
      </c>
      <c r="AD282" s="30"/>
      <c r="AE282" s="30"/>
      <c r="AF282" s="28" t="str">
        <f t="shared" si="12"/>
        <v/>
      </c>
      <c r="AG282" s="28" t="str">
        <f t="shared" si="13"/>
        <v/>
      </c>
      <c r="AH282" s="23" t="str">
        <f>IF(AG282="","",IF(AG282&gt;=Panduan!$B$4,"Terserap","Perlu Evaluasi"))</f>
        <v/>
      </c>
      <c r="AI282" s="29" t="str">
        <f t="shared" ref="AI282:AJ282" si="291">IF(COUNTA(J282,O282,T282,Y282,AD282)=0,"",SUM(J282,O282,T282,Y282,AD282))</f>
        <v/>
      </c>
      <c r="AJ282" s="29" t="str">
        <f t="shared" si="291"/>
        <v/>
      </c>
      <c r="AK282" s="28" t="str">
        <f t="shared" si="15"/>
        <v/>
      </c>
      <c r="AL282" s="28" t="str">
        <f t="shared" si="16"/>
        <v/>
      </c>
      <c r="AM282" s="23" t="str">
        <f>IF(AL282="","",IF(AL282&gt;=Panduan!$B$4,"Terserap","Perlu Evaluasi"))</f>
        <v/>
      </c>
    </row>
    <row r="283" ht="15.75" customHeight="1">
      <c r="A283" s="23" t="str">
        <f t="shared" si="2"/>
        <v/>
      </c>
      <c r="B283" s="33"/>
      <c r="C283" s="23" t="str">
        <f t="shared" si="3"/>
        <v/>
      </c>
      <c r="D283" s="31"/>
      <c r="E283" s="31"/>
      <c r="F283" s="31"/>
      <c r="G283" s="31"/>
      <c r="H283" s="31"/>
      <c r="I283" s="32"/>
      <c r="J283" s="30"/>
      <c r="K283" s="30"/>
      <c r="L283" s="28" t="str">
        <f t="shared" si="4"/>
        <v/>
      </c>
      <c r="M283" s="28" t="str">
        <f t="shared" si="5"/>
        <v/>
      </c>
      <c r="N283" s="23" t="str">
        <f>IF(M283="","",IF(M283&gt;=Panduan!$B$4,"Terserap","Perlu Evaluasi"))</f>
        <v/>
      </c>
      <c r="O283" s="30"/>
      <c r="P283" s="30"/>
      <c r="Q283" s="28" t="str">
        <f t="shared" si="6"/>
        <v/>
      </c>
      <c r="R283" s="28" t="str">
        <f t="shared" si="7"/>
        <v/>
      </c>
      <c r="S283" s="23" t="str">
        <f>IF(R283="","",IF(R283&gt;=Panduan!$B$4,"Terserap","Perlu Evaluasi"))</f>
        <v/>
      </c>
      <c r="T283" s="30"/>
      <c r="U283" s="30"/>
      <c r="V283" s="28" t="str">
        <f t="shared" si="8"/>
        <v/>
      </c>
      <c r="W283" s="28" t="str">
        <f t="shared" si="9"/>
        <v/>
      </c>
      <c r="X283" s="23" t="str">
        <f>IF(W283="","",IF(W283&gt;=Panduan!$B$4,"Terserap","Perlu Evaluasi"))</f>
        <v/>
      </c>
      <c r="Y283" s="30"/>
      <c r="Z283" s="30"/>
      <c r="AA283" s="28" t="str">
        <f t="shared" si="10"/>
        <v/>
      </c>
      <c r="AB283" s="28" t="str">
        <f t="shared" si="11"/>
        <v/>
      </c>
      <c r="AC283" s="23" t="str">
        <f>IF(AB283="","",IF(AB283&gt;=Panduan!$B$4,"Terserap","Perlu Evaluasi"))</f>
        <v/>
      </c>
      <c r="AD283" s="30"/>
      <c r="AE283" s="30"/>
      <c r="AF283" s="28" t="str">
        <f t="shared" si="12"/>
        <v/>
      </c>
      <c r="AG283" s="28" t="str">
        <f t="shared" si="13"/>
        <v/>
      </c>
      <c r="AH283" s="23" t="str">
        <f>IF(AG283="","",IF(AG283&gt;=Panduan!$B$4,"Terserap","Perlu Evaluasi"))</f>
        <v/>
      </c>
      <c r="AI283" s="29" t="str">
        <f t="shared" ref="AI283:AJ283" si="292">IF(COUNTA(J283,O283,T283,Y283,AD283)=0,"",SUM(J283,O283,T283,Y283,AD283))</f>
        <v/>
      </c>
      <c r="AJ283" s="29" t="str">
        <f t="shared" si="292"/>
        <v/>
      </c>
      <c r="AK283" s="28" t="str">
        <f t="shared" si="15"/>
        <v/>
      </c>
      <c r="AL283" s="28" t="str">
        <f t="shared" si="16"/>
        <v/>
      </c>
      <c r="AM283" s="23" t="str">
        <f>IF(AL283="","",IF(AL283&gt;=Panduan!$B$4,"Terserap","Perlu Evaluasi"))</f>
        <v/>
      </c>
    </row>
    <row r="284" ht="15.75" customHeight="1">
      <c r="A284" s="23" t="str">
        <f t="shared" si="2"/>
        <v/>
      </c>
      <c r="B284" s="33"/>
      <c r="C284" s="23" t="str">
        <f t="shared" si="3"/>
        <v/>
      </c>
      <c r="D284" s="31"/>
      <c r="E284" s="31"/>
      <c r="F284" s="31"/>
      <c r="G284" s="31"/>
      <c r="H284" s="31"/>
      <c r="I284" s="32"/>
      <c r="J284" s="30"/>
      <c r="K284" s="30"/>
      <c r="L284" s="28" t="str">
        <f t="shared" si="4"/>
        <v/>
      </c>
      <c r="M284" s="28" t="str">
        <f t="shared" si="5"/>
        <v/>
      </c>
      <c r="N284" s="23" t="str">
        <f>IF(M284="","",IF(M284&gt;=Panduan!$B$4,"Terserap","Perlu Evaluasi"))</f>
        <v/>
      </c>
      <c r="O284" s="30"/>
      <c r="P284" s="30"/>
      <c r="Q284" s="28" t="str">
        <f t="shared" si="6"/>
        <v/>
      </c>
      <c r="R284" s="28" t="str">
        <f t="shared" si="7"/>
        <v/>
      </c>
      <c r="S284" s="23" t="str">
        <f>IF(R284="","",IF(R284&gt;=Panduan!$B$4,"Terserap","Perlu Evaluasi"))</f>
        <v/>
      </c>
      <c r="T284" s="30"/>
      <c r="U284" s="30"/>
      <c r="V284" s="28" t="str">
        <f t="shared" si="8"/>
        <v/>
      </c>
      <c r="W284" s="28" t="str">
        <f t="shared" si="9"/>
        <v/>
      </c>
      <c r="X284" s="23" t="str">
        <f>IF(W284="","",IF(W284&gt;=Panduan!$B$4,"Terserap","Perlu Evaluasi"))</f>
        <v/>
      </c>
      <c r="Y284" s="30"/>
      <c r="Z284" s="30"/>
      <c r="AA284" s="28" t="str">
        <f t="shared" si="10"/>
        <v/>
      </c>
      <c r="AB284" s="28" t="str">
        <f t="shared" si="11"/>
        <v/>
      </c>
      <c r="AC284" s="23" t="str">
        <f>IF(AB284="","",IF(AB284&gt;=Panduan!$B$4,"Terserap","Perlu Evaluasi"))</f>
        <v/>
      </c>
      <c r="AD284" s="30"/>
      <c r="AE284" s="30"/>
      <c r="AF284" s="28" t="str">
        <f t="shared" si="12"/>
        <v/>
      </c>
      <c r="AG284" s="28" t="str">
        <f t="shared" si="13"/>
        <v/>
      </c>
      <c r="AH284" s="23" t="str">
        <f>IF(AG284="","",IF(AG284&gt;=Panduan!$B$4,"Terserap","Perlu Evaluasi"))</f>
        <v/>
      </c>
      <c r="AI284" s="29" t="str">
        <f t="shared" ref="AI284:AJ284" si="293">IF(COUNTA(J284,O284,T284,Y284,AD284)=0,"",SUM(J284,O284,T284,Y284,AD284))</f>
        <v/>
      </c>
      <c r="AJ284" s="29" t="str">
        <f t="shared" si="293"/>
        <v/>
      </c>
      <c r="AK284" s="28" t="str">
        <f t="shared" si="15"/>
        <v/>
      </c>
      <c r="AL284" s="28" t="str">
        <f t="shared" si="16"/>
        <v/>
      </c>
      <c r="AM284" s="23" t="str">
        <f>IF(AL284="","",IF(AL284&gt;=Panduan!$B$4,"Terserap","Perlu Evaluasi"))</f>
        <v/>
      </c>
    </row>
    <row r="285" ht="15.75" customHeight="1">
      <c r="A285" s="23" t="str">
        <f t="shared" si="2"/>
        <v/>
      </c>
      <c r="B285" s="33"/>
      <c r="C285" s="23" t="str">
        <f t="shared" si="3"/>
        <v/>
      </c>
      <c r="D285" s="31"/>
      <c r="E285" s="31"/>
      <c r="F285" s="31"/>
      <c r="G285" s="31"/>
      <c r="H285" s="31"/>
      <c r="I285" s="32"/>
      <c r="J285" s="30"/>
      <c r="K285" s="30"/>
      <c r="L285" s="28" t="str">
        <f t="shared" si="4"/>
        <v/>
      </c>
      <c r="M285" s="28" t="str">
        <f t="shared" si="5"/>
        <v/>
      </c>
      <c r="N285" s="23" t="str">
        <f>IF(M285="","",IF(M285&gt;=Panduan!$B$4,"Terserap","Perlu Evaluasi"))</f>
        <v/>
      </c>
      <c r="O285" s="30"/>
      <c r="P285" s="30"/>
      <c r="Q285" s="28" t="str">
        <f t="shared" si="6"/>
        <v/>
      </c>
      <c r="R285" s="28" t="str">
        <f t="shared" si="7"/>
        <v/>
      </c>
      <c r="S285" s="23" t="str">
        <f>IF(R285="","",IF(R285&gt;=Panduan!$B$4,"Terserap","Perlu Evaluasi"))</f>
        <v/>
      </c>
      <c r="T285" s="30"/>
      <c r="U285" s="30"/>
      <c r="V285" s="28" t="str">
        <f t="shared" si="8"/>
        <v/>
      </c>
      <c r="W285" s="28" t="str">
        <f t="shared" si="9"/>
        <v/>
      </c>
      <c r="X285" s="23" t="str">
        <f>IF(W285="","",IF(W285&gt;=Panduan!$B$4,"Terserap","Perlu Evaluasi"))</f>
        <v/>
      </c>
      <c r="Y285" s="30"/>
      <c r="Z285" s="30"/>
      <c r="AA285" s="28" t="str">
        <f t="shared" si="10"/>
        <v/>
      </c>
      <c r="AB285" s="28" t="str">
        <f t="shared" si="11"/>
        <v/>
      </c>
      <c r="AC285" s="23" t="str">
        <f>IF(AB285="","",IF(AB285&gt;=Panduan!$B$4,"Terserap","Perlu Evaluasi"))</f>
        <v/>
      </c>
      <c r="AD285" s="30"/>
      <c r="AE285" s="30"/>
      <c r="AF285" s="28" t="str">
        <f t="shared" si="12"/>
        <v/>
      </c>
      <c r="AG285" s="28" t="str">
        <f t="shared" si="13"/>
        <v/>
      </c>
      <c r="AH285" s="23" t="str">
        <f>IF(AG285="","",IF(AG285&gt;=Panduan!$B$4,"Terserap","Perlu Evaluasi"))</f>
        <v/>
      </c>
      <c r="AI285" s="29" t="str">
        <f t="shared" ref="AI285:AJ285" si="294">IF(COUNTA(J285,O285,T285,Y285,AD285)=0,"",SUM(J285,O285,T285,Y285,AD285))</f>
        <v/>
      </c>
      <c r="AJ285" s="29" t="str">
        <f t="shared" si="294"/>
        <v/>
      </c>
      <c r="AK285" s="28" t="str">
        <f t="shared" si="15"/>
        <v/>
      </c>
      <c r="AL285" s="28" t="str">
        <f t="shared" si="16"/>
        <v/>
      </c>
      <c r="AM285" s="23" t="str">
        <f>IF(AL285="","",IF(AL285&gt;=Panduan!$B$4,"Terserap","Perlu Evaluasi"))</f>
        <v/>
      </c>
    </row>
    <row r="286" ht="15.75" customHeight="1">
      <c r="A286" s="23" t="str">
        <f t="shared" si="2"/>
        <v/>
      </c>
      <c r="B286" s="33"/>
      <c r="C286" s="23" t="str">
        <f t="shared" si="3"/>
        <v/>
      </c>
      <c r="D286" s="31"/>
      <c r="E286" s="31"/>
      <c r="F286" s="31"/>
      <c r="G286" s="31"/>
      <c r="H286" s="31"/>
      <c r="I286" s="32"/>
      <c r="J286" s="30"/>
      <c r="K286" s="30"/>
      <c r="L286" s="28" t="str">
        <f t="shared" si="4"/>
        <v/>
      </c>
      <c r="M286" s="28" t="str">
        <f t="shared" si="5"/>
        <v/>
      </c>
      <c r="N286" s="23" t="str">
        <f>IF(M286="","",IF(M286&gt;=Panduan!$B$4,"Terserap","Perlu Evaluasi"))</f>
        <v/>
      </c>
      <c r="O286" s="30"/>
      <c r="P286" s="30"/>
      <c r="Q286" s="28" t="str">
        <f t="shared" si="6"/>
        <v/>
      </c>
      <c r="R286" s="28" t="str">
        <f t="shared" si="7"/>
        <v/>
      </c>
      <c r="S286" s="23" t="str">
        <f>IF(R286="","",IF(R286&gt;=Panduan!$B$4,"Terserap","Perlu Evaluasi"))</f>
        <v/>
      </c>
      <c r="T286" s="30"/>
      <c r="U286" s="30"/>
      <c r="V286" s="28" t="str">
        <f t="shared" si="8"/>
        <v/>
      </c>
      <c r="W286" s="28" t="str">
        <f t="shared" si="9"/>
        <v/>
      </c>
      <c r="X286" s="23" t="str">
        <f>IF(W286="","",IF(W286&gt;=Panduan!$B$4,"Terserap","Perlu Evaluasi"))</f>
        <v/>
      </c>
      <c r="Y286" s="30"/>
      <c r="Z286" s="30"/>
      <c r="AA286" s="28" t="str">
        <f t="shared" si="10"/>
        <v/>
      </c>
      <c r="AB286" s="28" t="str">
        <f t="shared" si="11"/>
        <v/>
      </c>
      <c r="AC286" s="23" t="str">
        <f>IF(AB286="","",IF(AB286&gt;=Panduan!$B$4,"Terserap","Perlu Evaluasi"))</f>
        <v/>
      </c>
      <c r="AD286" s="30"/>
      <c r="AE286" s="30"/>
      <c r="AF286" s="28" t="str">
        <f t="shared" si="12"/>
        <v/>
      </c>
      <c r="AG286" s="28" t="str">
        <f t="shared" si="13"/>
        <v/>
      </c>
      <c r="AH286" s="23" t="str">
        <f>IF(AG286="","",IF(AG286&gt;=Panduan!$B$4,"Terserap","Perlu Evaluasi"))</f>
        <v/>
      </c>
      <c r="AI286" s="29" t="str">
        <f t="shared" ref="AI286:AJ286" si="295">IF(COUNTA(J286,O286,T286,Y286,AD286)=0,"",SUM(J286,O286,T286,Y286,AD286))</f>
        <v/>
      </c>
      <c r="AJ286" s="29" t="str">
        <f t="shared" si="295"/>
        <v/>
      </c>
      <c r="AK286" s="28" t="str">
        <f t="shared" si="15"/>
        <v/>
      </c>
      <c r="AL286" s="28" t="str">
        <f t="shared" si="16"/>
        <v/>
      </c>
      <c r="AM286" s="23" t="str">
        <f>IF(AL286="","",IF(AL286&gt;=Panduan!$B$4,"Terserap","Perlu Evaluasi"))</f>
        <v/>
      </c>
    </row>
    <row r="287" ht="15.75" customHeight="1">
      <c r="A287" s="23" t="str">
        <f t="shared" si="2"/>
        <v/>
      </c>
      <c r="B287" s="33"/>
      <c r="C287" s="23" t="str">
        <f t="shared" si="3"/>
        <v/>
      </c>
      <c r="D287" s="31"/>
      <c r="E287" s="31"/>
      <c r="F287" s="31"/>
      <c r="G287" s="31"/>
      <c r="H287" s="31"/>
      <c r="I287" s="32"/>
      <c r="J287" s="30"/>
      <c r="K287" s="30"/>
      <c r="L287" s="28" t="str">
        <f t="shared" si="4"/>
        <v/>
      </c>
      <c r="M287" s="28" t="str">
        <f t="shared" si="5"/>
        <v/>
      </c>
      <c r="N287" s="23" t="str">
        <f>IF(M287="","",IF(M287&gt;=Panduan!$B$4,"Terserap","Perlu Evaluasi"))</f>
        <v/>
      </c>
      <c r="O287" s="30"/>
      <c r="P287" s="30"/>
      <c r="Q287" s="28" t="str">
        <f t="shared" si="6"/>
        <v/>
      </c>
      <c r="R287" s="28" t="str">
        <f t="shared" si="7"/>
        <v/>
      </c>
      <c r="S287" s="23" t="str">
        <f>IF(R287="","",IF(R287&gt;=Panduan!$B$4,"Terserap","Perlu Evaluasi"))</f>
        <v/>
      </c>
      <c r="T287" s="30"/>
      <c r="U287" s="30"/>
      <c r="V287" s="28" t="str">
        <f t="shared" si="8"/>
        <v/>
      </c>
      <c r="W287" s="28" t="str">
        <f t="shared" si="9"/>
        <v/>
      </c>
      <c r="X287" s="23" t="str">
        <f>IF(W287="","",IF(W287&gt;=Panduan!$B$4,"Terserap","Perlu Evaluasi"))</f>
        <v/>
      </c>
      <c r="Y287" s="30"/>
      <c r="Z287" s="30"/>
      <c r="AA287" s="28" t="str">
        <f t="shared" si="10"/>
        <v/>
      </c>
      <c r="AB287" s="28" t="str">
        <f t="shared" si="11"/>
        <v/>
      </c>
      <c r="AC287" s="23" t="str">
        <f>IF(AB287="","",IF(AB287&gt;=Panduan!$B$4,"Terserap","Perlu Evaluasi"))</f>
        <v/>
      </c>
      <c r="AD287" s="30"/>
      <c r="AE287" s="30"/>
      <c r="AF287" s="28" t="str">
        <f t="shared" si="12"/>
        <v/>
      </c>
      <c r="AG287" s="28" t="str">
        <f t="shared" si="13"/>
        <v/>
      </c>
      <c r="AH287" s="23" t="str">
        <f>IF(AG287="","",IF(AG287&gt;=Panduan!$B$4,"Terserap","Perlu Evaluasi"))</f>
        <v/>
      </c>
      <c r="AI287" s="29" t="str">
        <f t="shared" ref="AI287:AJ287" si="296">IF(COUNTA(J287,O287,T287,Y287,AD287)=0,"",SUM(J287,O287,T287,Y287,AD287))</f>
        <v/>
      </c>
      <c r="AJ287" s="29" t="str">
        <f t="shared" si="296"/>
        <v/>
      </c>
      <c r="AK287" s="28" t="str">
        <f t="shared" si="15"/>
        <v/>
      </c>
      <c r="AL287" s="28" t="str">
        <f t="shared" si="16"/>
        <v/>
      </c>
      <c r="AM287" s="23" t="str">
        <f>IF(AL287="","",IF(AL287&gt;=Panduan!$B$4,"Terserap","Perlu Evaluasi"))</f>
        <v/>
      </c>
    </row>
    <row r="288" ht="15.75" customHeight="1">
      <c r="A288" s="23" t="str">
        <f t="shared" si="2"/>
        <v/>
      </c>
      <c r="B288" s="33"/>
      <c r="C288" s="23" t="str">
        <f t="shared" si="3"/>
        <v/>
      </c>
      <c r="D288" s="31"/>
      <c r="E288" s="31"/>
      <c r="F288" s="31"/>
      <c r="G288" s="31"/>
      <c r="H288" s="31"/>
      <c r="I288" s="32"/>
      <c r="J288" s="30"/>
      <c r="K288" s="30"/>
      <c r="L288" s="28" t="str">
        <f t="shared" si="4"/>
        <v/>
      </c>
      <c r="M288" s="28" t="str">
        <f t="shared" si="5"/>
        <v/>
      </c>
      <c r="N288" s="23" t="str">
        <f>IF(M288="","",IF(M288&gt;=Panduan!$B$4,"Terserap","Perlu Evaluasi"))</f>
        <v/>
      </c>
      <c r="O288" s="30"/>
      <c r="P288" s="30"/>
      <c r="Q288" s="28" t="str">
        <f t="shared" si="6"/>
        <v/>
      </c>
      <c r="R288" s="28" t="str">
        <f t="shared" si="7"/>
        <v/>
      </c>
      <c r="S288" s="23" t="str">
        <f>IF(R288="","",IF(R288&gt;=Panduan!$B$4,"Terserap","Perlu Evaluasi"))</f>
        <v/>
      </c>
      <c r="T288" s="30"/>
      <c r="U288" s="30"/>
      <c r="V288" s="28" t="str">
        <f t="shared" si="8"/>
        <v/>
      </c>
      <c r="W288" s="28" t="str">
        <f t="shared" si="9"/>
        <v/>
      </c>
      <c r="X288" s="23" t="str">
        <f>IF(W288="","",IF(W288&gt;=Panduan!$B$4,"Terserap","Perlu Evaluasi"))</f>
        <v/>
      </c>
      <c r="Y288" s="30"/>
      <c r="Z288" s="30"/>
      <c r="AA288" s="28" t="str">
        <f t="shared" si="10"/>
        <v/>
      </c>
      <c r="AB288" s="28" t="str">
        <f t="shared" si="11"/>
        <v/>
      </c>
      <c r="AC288" s="23" t="str">
        <f>IF(AB288="","",IF(AB288&gt;=Panduan!$B$4,"Terserap","Perlu Evaluasi"))</f>
        <v/>
      </c>
      <c r="AD288" s="30"/>
      <c r="AE288" s="30"/>
      <c r="AF288" s="28" t="str">
        <f t="shared" si="12"/>
        <v/>
      </c>
      <c r="AG288" s="28" t="str">
        <f t="shared" si="13"/>
        <v/>
      </c>
      <c r="AH288" s="23" t="str">
        <f>IF(AG288="","",IF(AG288&gt;=Panduan!$B$4,"Terserap","Perlu Evaluasi"))</f>
        <v/>
      </c>
      <c r="AI288" s="29" t="str">
        <f t="shared" ref="AI288:AJ288" si="297">IF(COUNTA(J288,O288,T288,Y288,AD288)=0,"",SUM(J288,O288,T288,Y288,AD288))</f>
        <v/>
      </c>
      <c r="AJ288" s="29" t="str">
        <f t="shared" si="297"/>
        <v/>
      </c>
      <c r="AK288" s="28" t="str">
        <f t="shared" si="15"/>
        <v/>
      </c>
      <c r="AL288" s="28" t="str">
        <f t="shared" si="16"/>
        <v/>
      </c>
      <c r="AM288" s="23" t="str">
        <f>IF(AL288="","",IF(AL288&gt;=Panduan!$B$4,"Terserap","Perlu Evaluasi"))</f>
        <v/>
      </c>
    </row>
    <row r="289" ht="15.75" customHeight="1">
      <c r="A289" s="23" t="str">
        <f t="shared" si="2"/>
        <v/>
      </c>
      <c r="B289" s="33"/>
      <c r="C289" s="23" t="str">
        <f t="shared" si="3"/>
        <v/>
      </c>
      <c r="D289" s="31"/>
      <c r="E289" s="31"/>
      <c r="F289" s="31"/>
      <c r="G289" s="31"/>
      <c r="H289" s="31"/>
      <c r="I289" s="32"/>
      <c r="J289" s="30"/>
      <c r="K289" s="30"/>
      <c r="L289" s="28" t="str">
        <f t="shared" si="4"/>
        <v/>
      </c>
      <c r="M289" s="28" t="str">
        <f t="shared" si="5"/>
        <v/>
      </c>
      <c r="N289" s="23" t="str">
        <f>IF(M289="","",IF(M289&gt;=Panduan!$B$4,"Terserap","Perlu Evaluasi"))</f>
        <v/>
      </c>
      <c r="O289" s="30"/>
      <c r="P289" s="30"/>
      <c r="Q289" s="28" t="str">
        <f t="shared" si="6"/>
        <v/>
      </c>
      <c r="R289" s="28" t="str">
        <f t="shared" si="7"/>
        <v/>
      </c>
      <c r="S289" s="23" t="str">
        <f>IF(R289="","",IF(R289&gt;=Panduan!$B$4,"Terserap","Perlu Evaluasi"))</f>
        <v/>
      </c>
      <c r="T289" s="30"/>
      <c r="U289" s="30"/>
      <c r="V289" s="28" t="str">
        <f t="shared" si="8"/>
        <v/>
      </c>
      <c r="W289" s="28" t="str">
        <f t="shared" si="9"/>
        <v/>
      </c>
      <c r="X289" s="23" t="str">
        <f>IF(W289="","",IF(W289&gt;=Panduan!$B$4,"Terserap","Perlu Evaluasi"))</f>
        <v/>
      </c>
      <c r="Y289" s="30"/>
      <c r="Z289" s="30"/>
      <c r="AA289" s="28" t="str">
        <f t="shared" si="10"/>
        <v/>
      </c>
      <c r="AB289" s="28" t="str">
        <f t="shared" si="11"/>
        <v/>
      </c>
      <c r="AC289" s="23" t="str">
        <f>IF(AB289="","",IF(AB289&gt;=Panduan!$B$4,"Terserap","Perlu Evaluasi"))</f>
        <v/>
      </c>
      <c r="AD289" s="30"/>
      <c r="AE289" s="30"/>
      <c r="AF289" s="28" t="str">
        <f t="shared" si="12"/>
        <v/>
      </c>
      <c r="AG289" s="28" t="str">
        <f t="shared" si="13"/>
        <v/>
      </c>
      <c r="AH289" s="23" t="str">
        <f>IF(AG289="","",IF(AG289&gt;=Panduan!$B$4,"Terserap","Perlu Evaluasi"))</f>
        <v/>
      </c>
      <c r="AI289" s="29" t="str">
        <f t="shared" ref="AI289:AJ289" si="298">IF(COUNTA(J289,O289,T289,Y289,AD289)=0,"",SUM(J289,O289,T289,Y289,AD289))</f>
        <v/>
      </c>
      <c r="AJ289" s="29" t="str">
        <f t="shared" si="298"/>
        <v/>
      </c>
      <c r="AK289" s="28" t="str">
        <f t="shared" si="15"/>
        <v/>
      </c>
      <c r="AL289" s="28" t="str">
        <f t="shared" si="16"/>
        <v/>
      </c>
      <c r="AM289" s="23" t="str">
        <f>IF(AL289="","",IF(AL289&gt;=Panduan!$B$4,"Terserap","Perlu Evaluasi"))</f>
        <v/>
      </c>
    </row>
    <row r="290" ht="15.75" customHeight="1">
      <c r="A290" s="23" t="str">
        <f t="shared" si="2"/>
        <v/>
      </c>
      <c r="B290" s="33"/>
      <c r="C290" s="23" t="str">
        <f t="shared" si="3"/>
        <v/>
      </c>
      <c r="D290" s="31"/>
      <c r="E290" s="31"/>
      <c r="F290" s="31"/>
      <c r="G290" s="31"/>
      <c r="H290" s="31"/>
      <c r="I290" s="32"/>
      <c r="J290" s="30"/>
      <c r="K290" s="30"/>
      <c r="L290" s="28" t="str">
        <f t="shared" si="4"/>
        <v/>
      </c>
      <c r="M290" s="28" t="str">
        <f t="shared" si="5"/>
        <v/>
      </c>
      <c r="N290" s="23" t="str">
        <f>IF(M290="","",IF(M290&gt;=Panduan!$B$4,"Terserap","Perlu Evaluasi"))</f>
        <v/>
      </c>
      <c r="O290" s="30"/>
      <c r="P290" s="30"/>
      <c r="Q290" s="28" t="str">
        <f t="shared" si="6"/>
        <v/>
      </c>
      <c r="R290" s="28" t="str">
        <f t="shared" si="7"/>
        <v/>
      </c>
      <c r="S290" s="23" t="str">
        <f>IF(R290="","",IF(R290&gt;=Panduan!$B$4,"Terserap","Perlu Evaluasi"))</f>
        <v/>
      </c>
      <c r="T290" s="30"/>
      <c r="U290" s="30"/>
      <c r="V290" s="28" t="str">
        <f t="shared" si="8"/>
        <v/>
      </c>
      <c r="W290" s="28" t="str">
        <f t="shared" si="9"/>
        <v/>
      </c>
      <c r="X290" s="23" t="str">
        <f>IF(W290="","",IF(W290&gt;=Panduan!$B$4,"Terserap","Perlu Evaluasi"))</f>
        <v/>
      </c>
      <c r="Y290" s="30"/>
      <c r="Z290" s="30"/>
      <c r="AA290" s="28" t="str">
        <f t="shared" si="10"/>
        <v/>
      </c>
      <c r="AB290" s="28" t="str">
        <f t="shared" si="11"/>
        <v/>
      </c>
      <c r="AC290" s="23" t="str">
        <f>IF(AB290="","",IF(AB290&gt;=Panduan!$B$4,"Terserap","Perlu Evaluasi"))</f>
        <v/>
      </c>
      <c r="AD290" s="30"/>
      <c r="AE290" s="30"/>
      <c r="AF290" s="28" t="str">
        <f t="shared" si="12"/>
        <v/>
      </c>
      <c r="AG290" s="28" t="str">
        <f t="shared" si="13"/>
        <v/>
      </c>
      <c r="AH290" s="23" t="str">
        <f>IF(AG290="","",IF(AG290&gt;=Panduan!$B$4,"Terserap","Perlu Evaluasi"))</f>
        <v/>
      </c>
      <c r="AI290" s="29" t="str">
        <f t="shared" ref="AI290:AJ290" si="299">IF(COUNTA(J290,O290,T290,Y290,AD290)=0,"",SUM(J290,O290,T290,Y290,AD290))</f>
        <v/>
      </c>
      <c r="AJ290" s="29" t="str">
        <f t="shared" si="299"/>
        <v/>
      </c>
      <c r="AK290" s="28" t="str">
        <f t="shared" si="15"/>
        <v/>
      </c>
      <c r="AL290" s="28" t="str">
        <f t="shared" si="16"/>
        <v/>
      </c>
      <c r="AM290" s="23" t="str">
        <f>IF(AL290="","",IF(AL290&gt;=Panduan!$B$4,"Terserap","Perlu Evaluasi"))</f>
        <v/>
      </c>
    </row>
    <row r="291" ht="15.75" customHeight="1">
      <c r="A291" s="23" t="str">
        <f t="shared" si="2"/>
        <v/>
      </c>
      <c r="B291" s="33"/>
      <c r="C291" s="23" t="str">
        <f t="shared" si="3"/>
        <v/>
      </c>
      <c r="D291" s="31"/>
      <c r="E291" s="31"/>
      <c r="F291" s="31"/>
      <c r="G291" s="31"/>
      <c r="H291" s="31"/>
      <c r="I291" s="32"/>
      <c r="J291" s="30"/>
      <c r="K291" s="30"/>
      <c r="L291" s="28" t="str">
        <f t="shared" si="4"/>
        <v/>
      </c>
      <c r="M291" s="28" t="str">
        <f t="shared" si="5"/>
        <v/>
      </c>
      <c r="N291" s="23" t="str">
        <f>IF(M291="","",IF(M291&gt;=Panduan!$B$4,"Terserap","Perlu Evaluasi"))</f>
        <v/>
      </c>
      <c r="O291" s="30"/>
      <c r="P291" s="30"/>
      <c r="Q291" s="28" t="str">
        <f t="shared" si="6"/>
        <v/>
      </c>
      <c r="R291" s="28" t="str">
        <f t="shared" si="7"/>
        <v/>
      </c>
      <c r="S291" s="23" t="str">
        <f>IF(R291="","",IF(R291&gt;=Panduan!$B$4,"Terserap","Perlu Evaluasi"))</f>
        <v/>
      </c>
      <c r="T291" s="30"/>
      <c r="U291" s="30"/>
      <c r="V291" s="28" t="str">
        <f t="shared" si="8"/>
        <v/>
      </c>
      <c r="W291" s="28" t="str">
        <f t="shared" si="9"/>
        <v/>
      </c>
      <c r="X291" s="23" t="str">
        <f>IF(W291="","",IF(W291&gt;=Panduan!$B$4,"Terserap","Perlu Evaluasi"))</f>
        <v/>
      </c>
      <c r="Y291" s="30"/>
      <c r="Z291" s="30"/>
      <c r="AA291" s="28" t="str">
        <f t="shared" si="10"/>
        <v/>
      </c>
      <c r="AB291" s="28" t="str">
        <f t="shared" si="11"/>
        <v/>
      </c>
      <c r="AC291" s="23" t="str">
        <f>IF(AB291="","",IF(AB291&gt;=Panduan!$B$4,"Terserap","Perlu Evaluasi"))</f>
        <v/>
      </c>
      <c r="AD291" s="30"/>
      <c r="AE291" s="30"/>
      <c r="AF291" s="28" t="str">
        <f t="shared" si="12"/>
        <v/>
      </c>
      <c r="AG291" s="28" t="str">
        <f t="shared" si="13"/>
        <v/>
      </c>
      <c r="AH291" s="23" t="str">
        <f>IF(AG291="","",IF(AG291&gt;=Panduan!$B$4,"Terserap","Perlu Evaluasi"))</f>
        <v/>
      </c>
      <c r="AI291" s="29" t="str">
        <f t="shared" ref="AI291:AJ291" si="300">IF(COUNTA(J291,O291,T291,Y291,AD291)=0,"",SUM(J291,O291,T291,Y291,AD291))</f>
        <v/>
      </c>
      <c r="AJ291" s="29" t="str">
        <f t="shared" si="300"/>
        <v/>
      </c>
      <c r="AK291" s="28" t="str">
        <f t="shared" si="15"/>
        <v/>
      </c>
      <c r="AL291" s="28" t="str">
        <f t="shared" si="16"/>
        <v/>
      </c>
      <c r="AM291" s="23" t="str">
        <f>IF(AL291="","",IF(AL291&gt;=Panduan!$B$4,"Terserap","Perlu Evaluasi"))</f>
        <v/>
      </c>
    </row>
    <row r="292" ht="15.75" customHeight="1">
      <c r="A292" s="23" t="str">
        <f t="shared" si="2"/>
        <v/>
      </c>
      <c r="B292" s="33"/>
      <c r="C292" s="23" t="str">
        <f t="shared" si="3"/>
        <v/>
      </c>
      <c r="D292" s="31"/>
      <c r="E292" s="31"/>
      <c r="F292" s="31"/>
      <c r="G292" s="31"/>
      <c r="H292" s="31"/>
      <c r="I292" s="32"/>
      <c r="J292" s="30"/>
      <c r="K292" s="30"/>
      <c r="L292" s="28" t="str">
        <f t="shared" si="4"/>
        <v/>
      </c>
      <c r="M292" s="28" t="str">
        <f t="shared" si="5"/>
        <v/>
      </c>
      <c r="N292" s="23" t="str">
        <f>IF(M292="","",IF(M292&gt;=Panduan!$B$4,"Terserap","Perlu Evaluasi"))</f>
        <v/>
      </c>
      <c r="O292" s="30"/>
      <c r="P292" s="30"/>
      <c r="Q292" s="28" t="str">
        <f t="shared" si="6"/>
        <v/>
      </c>
      <c r="R292" s="28" t="str">
        <f t="shared" si="7"/>
        <v/>
      </c>
      <c r="S292" s="23" t="str">
        <f>IF(R292="","",IF(R292&gt;=Panduan!$B$4,"Terserap","Perlu Evaluasi"))</f>
        <v/>
      </c>
      <c r="T292" s="30"/>
      <c r="U292" s="30"/>
      <c r="V292" s="28" t="str">
        <f t="shared" si="8"/>
        <v/>
      </c>
      <c r="W292" s="28" t="str">
        <f t="shared" si="9"/>
        <v/>
      </c>
      <c r="X292" s="23" t="str">
        <f>IF(W292="","",IF(W292&gt;=Panduan!$B$4,"Terserap","Perlu Evaluasi"))</f>
        <v/>
      </c>
      <c r="Y292" s="30"/>
      <c r="Z292" s="30"/>
      <c r="AA292" s="28" t="str">
        <f t="shared" si="10"/>
        <v/>
      </c>
      <c r="AB292" s="28" t="str">
        <f t="shared" si="11"/>
        <v/>
      </c>
      <c r="AC292" s="23" t="str">
        <f>IF(AB292="","",IF(AB292&gt;=Panduan!$B$4,"Terserap","Perlu Evaluasi"))</f>
        <v/>
      </c>
      <c r="AD292" s="30"/>
      <c r="AE292" s="30"/>
      <c r="AF292" s="28" t="str">
        <f t="shared" si="12"/>
        <v/>
      </c>
      <c r="AG292" s="28" t="str">
        <f t="shared" si="13"/>
        <v/>
      </c>
      <c r="AH292" s="23" t="str">
        <f>IF(AG292="","",IF(AG292&gt;=Panduan!$B$4,"Terserap","Perlu Evaluasi"))</f>
        <v/>
      </c>
      <c r="AI292" s="29" t="str">
        <f t="shared" ref="AI292:AJ292" si="301">IF(COUNTA(J292,O292,T292,Y292,AD292)=0,"",SUM(J292,O292,T292,Y292,AD292))</f>
        <v/>
      </c>
      <c r="AJ292" s="29" t="str">
        <f t="shared" si="301"/>
        <v/>
      </c>
      <c r="AK292" s="28" t="str">
        <f t="shared" si="15"/>
        <v/>
      </c>
      <c r="AL292" s="28" t="str">
        <f t="shared" si="16"/>
        <v/>
      </c>
      <c r="AM292" s="23" t="str">
        <f>IF(AL292="","",IF(AL292&gt;=Panduan!$B$4,"Terserap","Perlu Evaluasi"))</f>
        <v/>
      </c>
    </row>
    <row r="293" ht="15.75" customHeight="1">
      <c r="A293" s="23" t="str">
        <f t="shared" si="2"/>
        <v/>
      </c>
      <c r="B293" s="33"/>
      <c r="C293" s="23" t="str">
        <f t="shared" si="3"/>
        <v/>
      </c>
      <c r="D293" s="31"/>
      <c r="E293" s="31"/>
      <c r="F293" s="31"/>
      <c r="G293" s="31"/>
      <c r="H293" s="31"/>
      <c r="I293" s="32"/>
      <c r="J293" s="30"/>
      <c r="K293" s="30"/>
      <c r="L293" s="28" t="str">
        <f t="shared" si="4"/>
        <v/>
      </c>
      <c r="M293" s="28" t="str">
        <f t="shared" si="5"/>
        <v/>
      </c>
      <c r="N293" s="23" t="str">
        <f>IF(M293="","",IF(M293&gt;=Panduan!$B$4,"Terserap","Perlu Evaluasi"))</f>
        <v/>
      </c>
      <c r="O293" s="30"/>
      <c r="P293" s="30"/>
      <c r="Q293" s="28" t="str">
        <f t="shared" si="6"/>
        <v/>
      </c>
      <c r="R293" s="28" t="str">
        <f t="shared" si="7"/>
        <v/>
      </c>
      <c r="S293" s="23" t="str">
        <f>IF(R293="","",IF(R293&gt;=Panduan!$B$4,"Terserap","Perlu Evaluasi"))</f>
        <v/>
      </c>
      <c r="T293" s="30"/>
      <c r="U293" s="30"/>
      <c r="V293" s="28" t="str">
        <f t="shared" si="8"/>
        <v/>
      </c>
      <c r="W293" s="28" t="str">
        <f t="shared" si="9"/>
        <v/>
      </c>
      <c r="X293" s="23" t="str">
        <f>IF(W293="","",IF(W293&gt;=Panduan!$B$4,"Terserap","Perlu Evaluasi"))</f>
        <v/>
      </c>
      <c r="Y293" s="30"/>
      <c r="Z293" s="30"/>
      <c r="AA293" s="28" t="str">
        <f t="shared" si="10"/>
        <v/>
      </c>
      <c r="AB293" s="28" t="str">
        <f t="shared" si="11"/>
        <v/>
      </c>
      <c r="AC293" s="23" t="str">
        <f>IF(AB293="","",IF(AB293&gt;=Panduan!$B$4,"Terserap","Perlu Evaluasi"))</f>
        <v/>
      </c>
      <c r="AD293" s="30"/>
      <c r="AE293" s="30"/>
      <c r="AF293" s="28" t="str">
        <f t="shared" si="12"/>
        <v/>
      </c>
      <c r="AG293" s="28" t="str">
        <f t="shared" si="13"/>
        <v/>
      </c>
      <c r="AH293" s="23" t="str">
        <f>IF(AG293="","",IF(AG293&gt;=Panduan!$B$4,"Terserap","Perlu Evaluasi"))</f>
        <v/>
      </c>
      <c r="AI293" s="29" t="str">
        <f t="shared" ref="AI293:AJ293" si="302">IF(COUNTA(J293,O293,T293,Y293,AD293)=0,"",SUM(J293,O293,T293,Y293,AD293))</f>
        <v/>
      </c>
      <c r="AJ293" s="29" t="str">
        <f t="shared" si="302"/>
        <v/>
      </c>
      <c r="AK293" s="28" t="str">
        <f t="shared" si="15"/>
        <v/>
      </c>
      <c r="AL293" s="28" t="str">
        <f t="shared" si="16"/>
        <v/>
      </c>
      <c r="AM293" s="23" t="str">
        <f>IF(AL293="","",IF(AL293&gt;=Panduan!$B$4,"Terserap","Perlu Evaluasi"))</f>
        <v/>
      </c>
    </row>
    <row r="294" ht="15.75" customHeight="1">
      <c r="A294" s="23" t="str">
        <f t="shared" si="2"/>
        <v/>
      </c>
      <c r="B294" s="33"/>
      <c r="C294" s="23" t="str">
        <f t="shared" si="3"/>
        <v/>
      </c>
      <c r="D294" s="31"/>
      <c r="E294" s="31"/>
      <c r="F294" s="31"/>
      <c r="G294" s="31"/>
      <c r="H294" s="31"/>
      <c r="I294" s="32"/>
      <c r="J294" s="30"/>
      <c r="K294" s="30"/>
      <c r="L294" s="28" t="str">
        <f t="shared" si="4"/>
        <v/>
      </c>
      <c r="M294" s="28" t="str">
        <f t="shared" si="5"/>
        <v/>
      </c>
      <c r="N294" s="23" t="str">
        <f>IF(M294="","",IF(M294&gt;=Panduan!$B$4,"Terserap","Perlu Evaluasi"))</f>
        <v/>
      </c>
      <c r="O294" s="30"/>
      <c r="P294" s="30"/>
      <c r="Q294" s="28" t="str">
        <f t="shared" si="6"/>
        <v/>
      </c>
      <c r="R294" s="28" t="str">
        <f t="shared" si="7"/>
        <v/>
      </c>
      <c r="S294" s="23" t="str">
        <f>IF(R294="","",IF(R294&gt;=Panduan!$B$4,"Terserap","Perlu Evaluasi"))</f>
        <v/>
      </c>
      <c r="T294" s="30"/>
      <c r="U294" s="30"/>
      <c r="V294" s="28" t="str">
        <f t="shared" si="8"/>
        <v/>
      </c>
      <c r="W294" s="28" t="str">
        <f t="shared" si="9"/>
        <v/>
      </c>
      <c r="X294" s="23" t="str">
        <f>IF(W294="","",IF(W294&gt;=Panduan!$B$4,"Terserap","Perlu Evaluasi"))</f>
        <v/>
      </c>
      <c r="Y294" s="30"/>
      <c r="Z294" s="30"/>
      <c r="AA294" s="28" t="str">
        <f t="shared" si="10"/>
        <v/>
      </c>
      <c r="AB294" s="28" t="str">
        <f t="shared" si="11"/>
        <v/>
      </c>
      <c r="AC294" s="23" t="str">
        <f>IF(AB294="","",IF(AB294&gt;=Panduan!$B$4,"Terserap","Perlu Evaluasi"))</f>
        <v/>
      </c>
      <c r="AD294" s="30"/>
      <c r="AE294" s="30"/>
      <c r="AF294" s="28" t="str">
        <f t="shared" si="12"/>
        <v/>
      </c>
      <c r="AG294" s="28" t="str">
        <f t="shared" si="13"/>
        <v/>
      </c>
      <c r="AH294" s="23" t="str">
        <f>IF(AG294="","",IF(AG294&gt;=Panduan!$B$4,"Terserap","Perlu Evaluasi"))</f>
        <v/>
      </c>
      <c r="AI294" s="29" t="str">
        <f t="shared" ref="AI294:AJ294" si="303">IF(COUNTA(J294,O294,T294,Y294,AD294)=0,"",SUM(J294,O294,T294,Y294,AD294))</f>
        <v/>
      </c>
      <c r="AJ294" s="29" t="str">
        <f t="shared" si="303"/>
        <v/>
      </c>
      <c r="AK294" s="28" t="str">
        <f t="shared" si="15"/>
        <v/>
      </c>
      <c r="AL294" s="28" t="str">
        <f t="shared" si="16"/>
        <v/>
      </c>
      <c r="AM294" s="23" t="str">
        <f>IF(AL294="","",IF(AL294&gt;=Panduan!$B$4,"Terserap","Perlu Evaluasi"))</f>
        <v/>
      </c>
    </row>
    <row r="295" ht="15.75" customHeight="1">
      <c r="A295" s="23" t="str">
        <f t="shared" si="2"/>
        <v/>
      </c>
      <c r="B295" s="33"/>
      <c r="C295" s="23" t="str">
        <f t="shared" si="3"/>
        <v/>
      </c>
      <c r="D295" s="31"/>
      <c r="E295" s="31"/>
      <c r="F295" s="31"/>
      <c r="G295" s="31"/>
      <c r="H295" s="31"/>
      <c r="I295" s="32"/>
      <c r="J295" s="30"/>
      <c r="K295" s="30"/>
      <c r="L295" s="28" t="str">
        <f t="shared" si="4"/>
        <v/>
      </c>
      <c r="M295" s="28" t="str">
        <f t="shared" si="5"/>
        <v/>
      </c>
      <c r="N295" s="23" t="str">
        <f>IF(M295="","",IF(M295&gt;=Panduan!$B$4,"Terserap","Perlu Evaluasi"))</f>
        <v/>
      </c>
      <c r="O295" s="30"/>
      <c r="P295" s="30"/>
      <c r="Q295" s="28" t="str">
        <f t="shared" si="6"/>
        <v/>
      </c>
      <c r="R295" s="28" t="str">
        <f t="shared" si="7"/>
        <v/>
      </c>
      <c r="S295" s="23" t="str">
        <f>IF(R295="","",IF(R295&gt;=Panduan!$B$4,"Terserap","Perlu Evaluasi"))</f>
        <v/>
      </c>
      <c r="T295" s="30"/>
      <c r="U295" s="30"/>
      <c r="V295" s="28" t="str">
        <f t="shared" si="8"/>
        <v/>
      </c>
      <c r="W295" s="28" t="str">
        <f t="shared" si="9"/>
        <v/>
      </c>
      <c r="X295" s="23" t="str">
        <f>IF(W295="","",IF(W295&gt;=Panduan!$B$4,"Terserap","Perlu Evaluasi"))</f>
        <v/>
      </c>
      <c r="Y295" s="30"/>
      <c r="Z295" s="30"/>
      <c r="AA295" s="28" t="str">
        <f t="shared" si="10"/>
        <v/>
      </c>
      <c r="AB295" s="28" t="str">
        <f t="shared" si="11"/>
        <v/>
      </c>
      <c r="AC295" s="23" t="str">
        <f>IF(AB295="","",IF(AB295&gt;=Panduan!$B$4,"Terserap","Perlu Evaluasi"))</f>
        <v/>
      </c>
      <c r="AD295" s="30"/>
      <c r="AE295" s="30"/>
      <c r="AF295" s="28" t="str">
        <f t="shared" si="12"/>
        <v/>
      </c>
      <c r="AG295" s="28" t="str">
        <f t="shared" si="13"/>
        <v/>
      </c>
      <c r="AH295" s="23" t="str">
        <f>IF(AG295="","",IF(AG295&gt;=Panduan!$B$4,"Terserap","Perlu Evaluasi"))</f>
        <v/>
      </c>
      <c r="AI295" s="29" t="str">
        <f t="shared" ref="AI295:AJ295" si="304">IF(COUNTA(J295,O295,T295,Y295,AD295)=0,"",SUM(J295,O295,T295,Y295,AD295))</f>
        <v/>
      </c>
      <c r="AJ295" s="29" t="str">
        <f t="shared" si="304"/>
        <v/>
      </c>
      <c r="AK295" s="28" t="str">
        <f t="shared" si="15"/>
        <v/>
      </c>
      <c r="AL295" s="28" t="str">
        <f t="shared" si="16"/>
        <v/>
      </c>
      <c r="AM295" s="23" t="str">
        <f>IF(AL295="","",IF(AL295&gt;=Panduan!$B$4,"Terserap","Perlu Evaluasi"))</f>
        <v/>
      </c>
    </row>
    <row r="296" ht="15.75" customHeight="1">
      <c r="A296" s="23" t="str">
        <f t="shared" si="2"/>
        <v/>
      </c>
      <c r="B296" s="33"/>
      <c r="C296" s="23" t="str">
        <f t="shared" si="3"/>
        <v/>
      </c>
      <c r="D296" s="31"/>
      <c r="E296" s="31"/>
      <c r="F296" s="31"/>
      <c r="G296" s="31"/>
      <c r="H296" s="31"/>
      <c r="I296" s="32"/>
      <c r="J296" s="30"/>
      <c r="K296" s="30"/>
      <c r="L296" s="28" t="str">
        <f t="shared" si="4"/>
        <v/>
      </c>
      <c r="M296" s="28" t="str">
        <f t="shared" si="5"/>
        <v/>
      </c>
      <c r="N296" s="23" t="str">
        <f>IF(M296="","",IF(M296&gt;=Panduan!$B$4,"Terserap","Perlu Evaluasi"))</f>
        <v/>
      </c>
      <c r="O296" s="30"/>
      <c r="P296" s="30"/>
      <c r="Q296" s="28" t="str">
        <f t="shared" si="6"/>
        <v/>
      </c>
      <c r="R296" s="28" t="str">
        <f t="shared" si="7"/>
        <v/>
      </c>
      <c r="S296" s="23" t="str">
        <f>IF(R296="","",IF(R296&gt;=Panduan!$B$4,"Terserap","Perlu Evaluasi"))</f>
        <v/>
      </c>
      <c r="T296" s="30"/>
      <c r="U296" s="30"/>
      <c r="V296" s="28" t="str">
        <f t="shared" si="8"/>
        <v/>
      </c>
      <c r="W296" s="28" t="str">
        <f t="shared" si="9"/>
        <v/>
      </c>
      <c r="X296" s="23" t="str">
        <f>IF(W296="","",IF(W296&gt;=Panduan!$B$4,"Terserap","Perlu Evaluasi"))</f>
        <v/>
      </c>
      <c r="Y296" s="30"/>
      <c r="Z296" s="30"/>
      <c r="AA296" s="28" t="str">
        <f t="shared" si="10"/>
        <v/>
      </c>
      <c r="AB296" s="28" t="str">
        <f t="shared" si="11"/>
        <v/>
      </c>
      <c r="AC296" s="23" t="str">
        <f>IF(AB296="","",IF(AB296&gt;=Panduan!$B$4,"Terserap","Perlu Evaluasi"))</f>
        <v/>
      </c>
      <c r="AD296" s="30"/>
      <c r="AE296" s="30"/>
      <c r="AF296" s="28" t="str">
        <f t="shared" si="12"/>
        <v/>
      </c>
      <c r="AG296" s="28" t="str">
        <f t="shared" si="13"/>
        <v/>
      </c>
      <c r="AH296" s="23" t="str">
        <f>IF(AG296="","",IF(AG296&gt;=Panduan!$B$4,"Terserap","Perlu Evaluasi"))</f>
        <v/>
      </c>
      <c r="AI296" s="29" t="str">
        <f t="shared" ref="AI296:AJ296" si="305">IF(COUNTA(J296,O296,T296,Y296,AD296)=0,"",SUM(J296,O296,T296,Y296,AD296))</f>
        <v/>
      </c>
      <c r="AJ296" s="29" t="str">
        <f t="shared" si="305"/>
        <v/>
      </c>
      <c r="AK296" s="28" t="str">
        <f t="shared" si="15"/>
        <v/>
      </c>
      <c r="AL296" s="28" t="str">
        <f t="shared" si="16"/>
        <v/>
      </c>
      <c r="AM296" s="23" t="str">
        <f>IF(AL296="","",IF(AL296&gt;=Panduan!$B$4,"Terserap","Perlu Evaluasi"))</f>
        <v/>
      </c>
    </row>
    <row r="297" ht="15.75" customHeight="1">
      <c r="A297" s="23" t="str">
        <f t="shared" si="2"/>
        <v/>
      </c>
      <c r="B297" s="33"/>
      <c r="C297" s="23" t="str">
        <f t="shared" si="3"/>
        <v/>
      </c>
      <c r="D297" s="31"/>
      <c r="E297" s="31"/>
      <c r="F297" s="31"/>
      <c r="G297" s="31"/>
      <c r="H297" s="31"/>
      <c r="I297" s="32"/>
      <c r="J297" s="30"/>
      <c r="K297" s="30"/>
      <c r="L297" s="28" t="str">
        <f t="shared" si="4"/>
        <v/>
      </c>
      <c r="M297" s="28" t="str">
        <f t="shared" si="5"/>
        <v/>
      </c>
      <c r="N297" s="23" t="str">
        <f>IF(M297="","",IF(M297&gt;=Panduan!$B$4,"Terserap","Perlu Evaluasi"))</f>
        <v/>
      </c>
      <c r="O297" s="30"/>
      <c r="P297" s="30"/>
      <c r="Q297" s="28" t="str">
        <f t="shared" si="6"/>
        <v/>
      </c>
      <c r="R297" s="28" t="str">
        <f t="shared" si="7"/>
        <v/>
      </c>
      <c r="S297" s="23" t="str">
        <f>IF(R297="","",IF(R297&gt;=Panduan!$B$4,"Terserap","Perlu Evaluasi"))</f>
        <v/>
      </c>
      <c r="T297" s="30"/>
      <c r="U297" s="30"/>
      <c r="V297" s="28" t="str">
        <f t="shared" si="8"/>
        <v/>
      </c>
      <c r="W297" s="28" t="str">
        <f t="shared" si="9"/>
        <v/>
      </c>
      <c r="X297" s="23" t="str">
        <f>IF(W297="","",IF(W297&gt;=Panduan!$B$4,"Terserap","Perlu Evaluasi"))</f>
        <v/>
      </c>
      <c r="Y297" s="30"/>
      <c r="Z297" s="30"/>
      <c r="AA297" s="28" t="str">
        <f t="shared" si="10"/>
        <v/>
      </c>
      <c r="AB297" s="28" t="str">
        <f t="shared" si="11"/>
        <v/>
      </c>
      <c r="AC297" s="23" t="str">
        <f>IF(AB297="","",IF(AB297&gt;=Panduan!$B$4,"Terserap","Perlu Evaluasi"))</f>
        <v/>
      </c>
      <c r="AD297" s="30"/>
      <c r="AE297" s="30"/>
      <c r="AF297" s="28" t="str">
        <f t="shared" si="12"/>
        <v/>
      </c>
      <c r="AG297" s="28" t="str">
        <f t="shared" si="13"/>
        <v/>
      </c>
      <c r="AH297" s="23" t="str">
        <f>IF(AG297="","",IF(AG297&gt;=Panduan!$B$4,"Terserap","Perlu Evaluasi"))</f>
        <v/>
      </c>
      <c r="AI297" s="29" t="str">
        <f t="shared" ref="AI297:AJ297" si="306">IF(COUNTA(J297,O297,T297,Y297,AD297)=0,"",SUM(J297,O297,T297,Y297,AD297))</f>
        <v/>
      </c>
      <c r="AJ297" s="29" t="str">
        <f t="shared" si="306"/>
        <v/>
      </c>
      <c r="AK297" s="28" t="str">
        <f t="shared" si="15"/>
        <v/>
      </c>
      <c r="AL297" s="28" t="str">
        <f t="shared" si="16"/>
        <v/>
      </c>
      <c r="AM297" s="23" t="str">
        <f>IF(AL297="","",IF(AL297&gt;=Panduan!$B$4,"Terserap","Perlu Evaluasi"))</f>
        <v/>
      </c>
    </row>
    <row r="298" ht="15.75" customHeight="1">
      <c r="A298" s="23" t="str">
        <f t="shared" si="2"/>
        <v/>
      </c>
      <c r="B298" s="33"/>
      <c r="C298" s="23" t="str">
        <f t="shared" si="3"/>
        <v/>
      </c>
      <c r="D298" s="31"/>
      <c r="E298" s="31"/>
      <c r="F298" s="31"/>
      <c r="G298" s="31"/>
      <c r="H298" s="31"/>
      <c r="I298" s="32"/>
      <c r="J298" s="30"/>
      <c r="K298" s="30"/>
      <c r="L298" s="28" t="str">
        <f t="shared" si="4"/>
        <v/>
      </c>
      <c r="M298" s="28" t="str">
        <f t="shared" si="5"/>
        <v/>
      </c>
      <c r="N298" s="23" t="str">
        <f>IF(M298="","",IF(M298&gt;=Panduan!$B$4,"Terserap","Perlu Evaluasi"))</f>
        <v/>
      </c>
      <c r="O298" s="30"/>
      <c r="P298" s="30"/>
      <c r="Q298" s="28" t="str">
        <f t="shared" si="6"/>
        <v/>
      </c>
      <c r="R298" s="28" t="str">
        <f t="shared" si="7"/>
        <v/>
      </c>
      <c r="S298" s="23" t="str">
        <f>IF(R298="","",IF(R298&gt;=Panduan!$B$4,"Terserap","Perlu Evaluasi"))</f>
        <v/>
      </c>
      <c r="T298" s="30"/>
      <c r="U298" s="30"/>
      <c r="V298" s="28" t="str">
        <f t="shared" si="8"/>
        <v/>
      </c>
      <c r="W298" s="28" t="str">
        <f t="shared" si="9"/>
        <v/>
      </c>
      <c r="X298" s="23" t="str">
        <f>IF(W298="","",IF(W298&gt;=Panduan!$B$4,"Terserap","Perlu Evaluasi"))</f>
        <v/>
      </c>
      <c r="Y298" s="30"/>
      <c r="Z298" s="30"/>
      <c r="AA298" s="28" t="str">
        <f t="shared" si="10"/>
        <v/>
      </c>
      <c r="AB298" s="28" t="str">
        <f t="shared" si="11"/>
        <v/>
      </c>
      <c r="AC298" s="23" t="str">
        <f>IF(AB298="","",IF(AB298&gt;=Panduan!$B$4,"Terserap","Perlu Evaluasi"))</f>
        <v/>
      </c>
      <c r="AD298" s="30"/>
      <c r="AE298" s="30"/>
      <c r="AF298" s="28" t="str">
        <f t="shared" si="12"/>
        <v/>
      </c>
      <c r="AG298" s="28" t="str">
        <f t="shared" si="13"/>
        <v/>
      </c>
      <c r="AH298" s="23" t="str">
        <f>IF(AG298="","",IF(AG298&gt;=Panduan!$B$4,"Terserap","Perlu Evaluasi"))</f>
        <v/>
      </c>
      <c r="AI298" s="29" t="str">
        <f t="shared" ref="AI298:AJ298" si="307">IF(COUNTA(J298,O298,T298,Y298,AD298)=0,"",SUM(J298,O298,T298,Y298,AD298))</f>
        <v/>
      </c>
      <c r="AJ298" s="29" t="str">
        <f t="shared" si="307"/>
        <v/>
      </c>
      <c r="AK298" s="28" t="str">
        <f t="shared" si="15"/>
        <v/>
      </c>
      <c r="AL298" s="28" t="str">
        <f t="shared" si="16"/>
        <v/>
      </c>
      <c r="AM298" s="23" t="str">
        <f>IF(AL298="","",IF(AL298&gt;=Panduan!$B$4,"Terserap","Perlu Evaluasi"))</f>
        <v/>
      </c>
    </row>
    <row r="299" ht="15.75" customHeight="1">
      <c r="A299" s="23" t="str">
        <f t="shared" si="2"/>
        <v/>
      </c>
      <c r="B299" s="33"/>
      <c r="C299" s="23" t="str">
        <f t="shared" si="3"/>
        <v/>
      </c>
      <c r="D299" s="31"/>
      <c r="E299" s="31"/>
      <c r="F299" s="31"/>
      <c r="G299" s="31"/>
      <c r="H299" s="31"/>
      <c r="I299" s="32"/>
      <c r="J299" s="30"/>
      <c r="K299" s="30"/>
      <c r="L299" s="28" t="str">
        <f t="shared" si="4"/>
        <v/>
      </c>
      <c r="M299" s="28" t="str">
        <f t="shared" si="5"/>
        <v/>
      </c>
      <c r="N299" s="23" t="str">
        <f>IF(M299="","",IF(M299&gt;=Panduan!$B$4,"Terserap","Perlu Evaluasi"))</f>
        <v/>
      </c>
      <c r="O299" s="30"/>
      <c r="P299" s="30"/>
      <c r="Q299" s="28" t="str">
        <f t="shared" si="6"/>
        <v/>
      </c>
      <c r="R299" s="28" t="str">
        <f t="shared" si="7"/>
        <v/>
      </c>
      <c r="S299" s="23" t="str">
        <f>IF(R299="","",IF(R299&gt;=Panduan!$B$4,"Terserap","Perlu Evaluasi"))</f>
        <v/>
      </c>
      <c r="T299" s="30"/>
      <c r="U299" s="30"/>
      <c r="V299" s="28" t="str">
        <f t="shared" si="8"/>
        <v/>
      </c>
      <c r="W299" s="28" t="str">
        <f t="shared" si="9"/>
        <v/>
      </c>
      <c r="X299" s="23" t="str">
        <f>IF(W299="","",IF(W299&gt;=Panduan!$B$4,"Terserap","Perlu Evaluasi"))</f>
        <v/>
      </c>
      <c r="Y299" s="30"/>
      <c r="Z299" s="30"/>
      <c r="AA299" s="28" t="str">
        <f t="shared" si="10"/>
        <v/>
      </c>
      <c r="AB299" s="28" t="str">
        <f t="shared" si="11"/>
        <v/>
      </c>
      <c r="AC299" s="23" t="str">
        <f>IF(AB299="","",IF(AB299&gt;=Panduan!$B$4,"Terserap","Perlu Evaluasi"))</f>
        <v/>
      </c>
      <c r="AD299" s="30"/>
      <c r="AE299" s="30"/>
      <c r="AF299" s="28" t="str">
        <f t="shared" si="12"/>
        <v/>
      </c>
      <c r="AG299" s="28" t="str">
        <f t="shared" si="13"/>
        <v/>
      </c>
      <c r="AH299" s="23" t="str">
        <f>IF(AG299="","",IF(AG299&gt;=Panduan!$B$4,"Terserap","Perlu Evaluasi"))</f>
        <v/>
      </c>
      <c r="AI299" s="29" t="str">
        <f t="shared" ref="AI299:AJ299" si="308">IF(COUNTA(J299,O299,T299,Y299,AD299)=0,"",SUM(J299,O299,T299,Y299,AD299))</f>
        <v/>
      </c>
      <c r="AJ299" s="29" t="str">
        <f t="shared" si="308"/>
        <v/>
      </c>
      <c r="AK299" s="28" t="str">
        <f t="shared" si="15"/>
        <v/>
      </c>
      <c r="AL299" s="28" t="str">
        <f t="shared" si="16"/>
        <v/>
      </c>
      <c r="AM299" s="23" t="str">
        <f>IF(AL299="","",IF(AL299&gt;=Panduan!$B$4,"Terserap","Perlu Evaluasi"))</f>
        <v/>
      </c>
    </row>
    <row r="300" ht="15.75" customHeight="1">
      <c r="A300" s="23" t="str">
        <f t="shared" si="2"/>
        <v/>
      </c>
      <c r="B300" s="33"/>
      <c r="C300" s="23" t="str">
        <f t="shared" si="3"/>
        <v/>
      </c>
      <c r="D300" s="31"/>
      <c r="E300" s="31"/>
      <c r="F300" s="31"/>
      <c r="G300" s="31"/>
      <c r="H300" s="31"/>
      <c r="I300" s="32"/>
      <c r="J300" s="30"/>
      <c r="K300" s="30"/>
      <c r="L300" s="28" t="str">
        <f t="shared" si="4"/>
        <v/>
      </c>
      <c r="M300" s="28" t="str">
        <f t="shared" si="5"/>
        <v/>
      </c>
      <c r="N300" s="23" t="str">
        <f>IF(M300="","",IF(M300&gt;=Panduan!$B$4,"Terserap","Perlu Evaluasi"))</f>
        <v/>
      </c>
      <c r="O300" s="30"/>
      <c r="P300" s="30"/>
      <c r="Q300" s="28" t="str">
        <f t="shared" si="6"/>
        <v/>
      </c>
      <c r="R300" s="28" t="str">
        <f t="shared" si="7"/>
        <v/>
      </c>
      <c r="S300" s="23" t="str">
        <f>IF(R300="","",IF(R300&gt;=Panduan!$B$4,"Terserap","Perlu Evaluasi"))</f>
        <v/>
      </c>
      <c r="T300" s="30"/>
      <c r="U300" s="30"/>
      <c r="V300" s="28" t="str">
        <f t="shared" si="8"/>
        <v/>
      </c>
      <c r="W300" s="28" t="str">
        <f t="shared" si="9"/>
        <v/>
      </c>
      <c r="X300" s="23" t="str">
        <f>IF(W300="","",IF(W300&gt;=Panduan!$B$4,"Terserap","Perlu Evaluasi"))</f>
        <v/>
      </c>
      <c r="Y300" s="30"/>
      <c r="Z300" s="30"/>
      <c r="AA300" s="28" t="str">
        <f t="shared" si="10"/>
        <v/>
      </c>
      <c r="AB300" s="28" t="str">
        <f t="shared" si="11"/>
        <v/>
      </c>
      <c r="AC300" s="23" t="str">
        <f>IF(AB300="","",IF(AB300&gt;=Panduan!$B$4,"Terserap","Perlu Evaluasi"))</f>
        <v/>
      </c>
      <c r="AD300" s="30"/>
      <c r="AE300" s="30"/>
      <c r="AF300" s="28" t="str">
        <f t="shared" si="12"/>
        <v/>
      </c>
      <c r="AG300" s="28" t="str">
        <f t="shared" si="13"/>
        <v/>
      </c>
      <c r="AH300" s="23" t="str">
        <f>IF(AG300="","",IF(AG300&gt;=Panduan!$B$4,"Terserap","Perlu Evaluasi"))</f>
        <v/>
      </c>
      <c r="AI300" s="29" t="str">
        <f t="shared" ref="AI300:AJ300" si="309">IF(COUNTA(J300,O300,T300,Y300,AD300)=0,"",SUM(J300,O300,T300,Y300,AD300))</f>
        <v/>
      </c>
      <c r="AJ300" s="29" t="str">
        <f t="shared" si="309"/>
        <v/>
      </c>
      <c r="AK300" s="28" t="str">
        <f t="shared" si="15"/>
        <v/>
      </c>
      <c r="AL300" s="28" t="str">
        <f t="shared" si="16"/>
        <v/>
      </c>
      <c r="AM300" s="23" t="str">
        <f>IF(AL300="","",IF(AL300&gt;=Panduan!$B$4,"Terserap","Perlu Evaluasi"))</f>
        <v/>
      </c>
    </row>
    <row r="301" ht="15.75" customHeight="1">
      <c r="A301" s="23" t="str">
        <f t="shared" si="2"/>
        <v/>
      </c>
      <c r="B301" s="33"/>
      <c r="C301" s="23" t="str">
        <f t="shared" si="3"/>
        <v/>
      </c>
      <c r="D301" s="31"/>
      <c r="E301" s="31"/>
      <c r="F301" s="31"/>
      <c r="G301" s="31"/>
      <c r="H301" s="31"/>
      <c r="I301" s="32"/>
      <c r="J301" s="30"/>
      <c r="K301" s="30"/>
      <c r="L301" s="28" t="str">
        <f t="shared" si="4"/>
        <v/>
      </c>
      <c r="M301" s="28" t="str">
        <f t="shared" si="5"/>
        <v/>
      </c>
      <c r="N301" s="23" t="str">
        <f>IF(M301="","",IF(M301&gt;=Panduan!$B$4,"Terserap","Perlu Evaluasi"))</f>
        <v/>
      </c>
      <c r="O301" s="30"/>
      <c r="P301" s="30"/>
      <c r="Q301" s="28" t="str">
        <f t="shared" si="6"/>
        <v/>
      </c>
      <c r="R301" s="28" t="str">
        <f t="shared" si="7"/>
        <v/>
      </c>
      <c r="S301" s="23" t="str">
        <f>IF(R301="","",IF(R301&gt;=Panduan!$B$4,"Terserap","Perlu Evaluasi"))</f>
        <v/>
      </c>
      <c r="T301" s="30"/>
      <c r="U301" s="30"/>
      <c r="V301" s="28" t="str">
        <f t="shared" si="8"/>
        <v/>
      </c>
      <c r="W301" s="28" t="str">
        <f t="shared" si="9"/>
        <v/>
      </c>
      <c r="X301" s="23" t="str">
        <f>IF(W301="","",IF(W301&gt;=Panduan!$B$4,"Terserap","Perlu Evaluasi"))</f>
        <v/>
      </c>
      <c r="Y301" s="30"/>
      <c r="Z301" s="30"/>
      <c r="AA301" s="28" t="str">
        <f t="shared" si="10"/>
        <v/>
      </c>
      <c r="AB301" s="28" t="str">
        <f t="shared" si="11"/>
        <v/>
      </c>
      <c r="AC301" s="23" t="str">
        <f>IF(AB301="","",IF(AB301&gt;=Panduan!$B$4,"Terserap","Perlu Evaluasi"))</f>
        <v/>
      </c>
      <c r="AD301" s="30"/>
      <c r="AE301" s="30"/>
      <c r="AF301" s="28" t="str">
        <f t="shared" si="12"/>
        <v/>
      </c>
      <c r="AG301" s="28" t="str">
        <f t="shared" si="13"/>
        <v/>
      </c>
      <c r="AH301" s="23" t="str">
        <f>IF(AG301="","",IF(AG301&gt;=Panduan!$B$4,"Terserap","Perlu Evaluasi"))</f>
        <v/>
      </c>
      <c r="AI301" s="29" t="str">
        <f t="shared" ref="AI301:AJ301" si="310">IF(COUNTA(J301,O301,T301,Y301,AD301)=0,"",SUM(J301,O301,T301,Y301,AD301))</f>
        <v/>
      </c>
      <c r="AJ301" s="29" t="str">
        <f t="shared" si="310"/>
        <v/>
      </c>
      <c r="AK301" s="28" t="str">
        <f t="shared" si="15"/>
        <v/>
      </c>
      <c r="AL301" s="28" t="str">
        <f t="shared" si="16"/>
        <v/>
      </c>
      <c r="AM301" s="23" t="str">
        <f>IF(AL301="","",IF(AL301&gt;=Panduan!$B$4,"Terserap","Perlu Evaluasi"))</f>
        <v/>
      </c>
    </row>
    <row r="302" ht="15.75" customHeight="1">
      <c r="A302" s="23" t="str">
        <f t="shared" si="2"/>
        <v/>
      </c>
      <c r="B302" s="33"/>
      <c r="C302" s="23" t="str">
        <f t="shared" si="3"/>
        <v/>
      </c>
      <c r="D302" s="31"/>
      <c r="E302" s="31"/>
      <c r="F302" s="31"/>
      <c r="G302" s="31"/>
      <c r="H302" s="31"/>
      <c r="I302" s="32"/>
      <c r="J302" s="30"/>
      <c r="K302" s="30"/>
      <c r="L302" s="28" t="str">
        <f t="shared" si="4"/>
        <v/>
      </c>
      <c r="M302" s="28" t="str">
        <f t="shared" si="5"/>
        <v/>
      </c>
      <c r="N302" s="23" t="str">
        <f>IF(M302="","",IF(M302&gt;=Panduan!$B$4,"Terserap","Perlu Evaluasi"))</f>
        <v/>
      </c>
      <c r="O302" s="30"/>
      <c r="P302" s="30"/>
      <c r="Q302" s="28" t="str">
        <f t="shared" si="6"/>
        <v/>
      </c>
      <c r="R302" s="28" t="str">
        <f t="shared" si="7"/>
        <v/>
      </c>
      <c r="S302" s="23" t="str">
        <f>IF(R302="","",IF(R302&gt;=Panduan!$B$4,"Terserap","Perlu Evaluasi"))</f>
        <v/>
      </c>
      <c r="T302" s="30"/>
      <c r="U302" s="30"/>
      <c r="V302" s="28" t="str">
        <f t="shared" si="8"/>
        <v/>
      </c>
      <c r="W302" s="28" t="str">
        <f t="shared" si="9"/>
        <v/>
      </c>
      <c r="X302" s="23" t="str">
        <f>IF(W302="","",IF(W302&gt;=Panduan!$B$4,"Terserap","Perlu Evaluasi"))</f>
        <v/>
      </c>
      <c r="Y302" s="30"/>
      <c r="Z302" s="30"/>
      <c r="AA302" s="28" t="str">
        <f t="shared" si="10"/>
        <v/>
      </c>
      <c r="AB302" s="28" t="str">
        <f t="shared" si="11"/>
        <v/>
      </c>
      <c r="AC302" s="23" t="str">
        <f>IF(AB302="","",IF(AB302&gt;=Panduan!$B$4,"Terserap","Perlu Evaluasi"))</f>
        <v/>
      </c>
      <c r="AD302" s="30"/>
      <c r="AE302" s="30"/>
      <c r="AF302" s="28" t="str">
        <f t="shared" si="12"/>
        <v/>
      </c>
      <c r="AG302" s="28" t="str">
        <f t="shared" si="13"/>
        <v/>
      </c>
      <c r="AH302" s="23" t="str">
        <f>IF(AG302="","",IF(AG302&gt;=Panduan!$B$4,"Terserap","Perlu Evaluasi"))</f>
        <v/>
      </c>
      <c r="AI302" s="29" t="str">
        <f t="shared" ref="AI302:AJ302" si="311">IF(COUNTA(J302,O302,T302,Y302,AD302)=0,"",SUM(J302,O302,T302,Y302,AD302))</f>
        <v/>
      </c>
      <c r="AJ302" s="29" t="str">
        <f t="shared" si="311"/>
        <v/>
      </c>
      <c r="AK302" s="28" t="str">
        <f t="shared" si="15"/>
        <v/>
      </c>
      <c r="AL302" s="28" t="str">
        <f t="shared" si="16"/>
        <v/>
      </c>
      <c r="AM302" s="23" t="str">
        <f>IF(AL302="","",IF(AL302&gt;=Panduan!$B$4,"Terserap","Perlu Evaluasi"))</f>
        <v/>
      </c>
    </row>
    <row r="303" ht="15.75" customHeight="1">
      <c r="A303" s="23" t="str">
        <f t="shared" si="2"/>
        <v/>
      </c>
      <c r="B303" s="33"/>
      <c r="C303" s="23" t="str">
        <f t="shared" si="3"/>
        <v/>
      </c>
      <c r="D303" s="31"/>
      <c r="E303" s="31"/>
      <c r="F303" s="31"/>
      <c r="G303" s="31"/>
      <c r="H303" s="31"/>
      <c r="I303" s="32"/>
      <c r="J303" s="30"/>
      <c r="K303" s="30"/>
      <c r="L303" s="28" t="str">
        <f t="shared" si="4"/>
        <v/>
      </c>
      <c r="M303" s="28" t="str">
        <f t="shared" si="5"/>
        <v/>
      </c>
      <c r="N303" s="23" t="str">
        <f>IF(M303="","",IF(M303&gt;=Panduan!$B$4,"Terserap","Perlu Evaluasi"))</f>
        <v/>
      </c>
      <c r="O303" s="30"/>
      <c r="P303" s="30"/>
      <c r="Q303" s="28" t="str">
        <f t="shared" si="6"/>
        <v/>
      </c>
      <c r="R303" s="28" t="str">
        <f t="shared" si="7"/>
        <v/>
      </c>
      <c r="S303" s="23" t="str">
        <f>IF(R303="","",IF(R303&gt;=Panduan!$B$4,"Terserap","Perlu Evaluasi"))</f>
        <v/>
      </c>
      <c r="T303" s="30"/>
      <c r="U303" s="30"/>
      <c r="V303" s="28" t="str">
        <f t="shared" si="8"/>
        <v/>
      </c>
      <c r="W303" s="28" t="str">
        <f t="shared" si="9"/>
        <v/>
      </c>
      <c r="X303" s="23" t="str">
        <f>IF(W303="","",IF(W303&gt;=Panduan!$B$4,"Terserap","Perlu Evaluasi"))</f>
        <v/>
      </c>
      <c r="Y303" s="30"/>
      <c r="Z303" s="30"/>
      <c r="AA303" s="28" t="str">
        <f t="shared" si="10"/>
        <v/>
      </c>
      <c r="AB303" s="28" t="str">
        <f t="shared" si="11"/>
        <v/>
      </c>
      <c r="AC303" s="23" t="str">
        <f>IF(AB303="","",IF(AB303&gt;=Panduan!$B$4,"Terserap","Perlu Evaluasi"))</f>
        <v/>
      </c>
      <c r="AD303" s="30"/>
      <c r="AE303" s="30"/>
      <c r="AF303" s="28" t="str">
        <f t="shared" si="12"/>
        <v/>
      </c>
      <c r="AG303" s="28" t="str">
        <f t="shared" si="13"/>
        <v/>
      </c>
      <c r="AH303" s="23" t="str">
        <f>IF(AG303="","",IF(AG303&gt;=Panduan!$B$4,"Terserap","Perlu Evaluasi"))</f>
        <v/>
      </c>
      <c r="AI303" s="29" t="str">
        <f t="shared" ref="AI303:AJ303" si="312">IF(COUNTA(J303,O303,T303,Y303,AD303)=0,"",SUM(J303,O303,T303,Y303,AD303))</f>
        <v/>
      </c>
      <c r="AJ303" s="29" t="str">
        <f t="shared" si="312"/>
        <v/>
      </c>
      <c r="AK303" s="28" t="str">
        <f t="shared" si="15"/>
        <v/>
      </c>
      <c r="AL303" s="28" t="str">
        <f t="shared" si="16"/>
        <v/>
      </c>
      <c r="AM303" s="23" t="str">
        <f>IF(AL303="","",IF(AL303&gt;=Panduan!$B$4,"Terserap","Perlu Evaluasi"))</f>
        <v/>
      </c>
    </row>
    <row r="304" ht="15.75" customHeight="1">
      <c r="A304" s="23" t="str">
        <f t="shared" si="2"/>
        <v/>
      </c>
      <c r="B304" s="33"/>
      <c r="C304" s="23" t="str">
        <f t="shared" si="3"/>
        <v/>
      </c>
      <c r="D304" s="31"/>
      <c r="E304" s="31"/>
      <c r="F304" s="31"/>
      <c r="G304" s="31"/>
      <c r="H304" s="31"/>
      <c r="I304" s="32"/>
      <c r="J304" s="30"/>
      <c r="K304" s="30"/>
      <c r="L304" s="28" t="str">
        <f t="shared" si="4"/>
        <v/>
      </c>
      <c r="M304" s="28" t="str">
        <f t="shared" si="5"/>
        <v/>
      </c>
      <c r="N304" s="23" t="str">
        <f>IF(M304="","",IF(M304&gt;=Panduan!$B$4,"Terserap","Perlu Evaluasi"))</f>
        <v/>
      </c>
      <c r="O304" s="30"/>
      <c r="P304" s="30"/>
      <c r="Q304" s="28" t="str">
        <f t="shared" si="6"/>
        <v/>
      </c>
      <c r="R304" s="28" t="str">
        <f t="shared" si="7"/>
        <v/>
      </c>
      <c r="S304" s="23" t="str">
        <f>IF(R304="","",IF(R304&gt;=Panduan!$B$4,"Terserap","Perlu Evaluasi"))</f>
        <v/>
      </c>
      <c r="T304" s="30"/>
      <c r="U304" s="30"/>
      <c r="V304" s="28" t="str">
        <f t="shared" si="8"/>
        <v/>
      </c>
      <c r="W304" s="28" t="str">
        <f t="shared" si="9"/>
        <v/>
      </c>
      <c r="X304" s="23" t="str">
        <f>IF(W304="","",IF(W304&gt;=Panduan!$B$4,"Terserap","Perlu Evaluasi"))</f>
        <v/>
      </c>
      <c r="Y304" s="30"/>
      <c r="Z304" s="30"/>
      <c r="AA304" s="28" t="str">
        <f t="shared" si="10"/>
        <v/>
      </c>
      <c r="AB304" s="28" t="str">
        <f t="shared" si="11"/>
        <v/>
      </c>
      <c r="AC304" s="23" t="str">
        <f>IF(AB304="","",IF(AB304&gt;=Panduan!$B$4,"Terserap","Perlu Evaluasi"))</f>
        <v/>
      </c>
      <c r="AD304" s="30"/>
      <c r="AE304" s="30"/>
      <c r="AF304" s="28" t="str">
        <f t="shared" si="12"/>
        <v/>
      </c>
      <c r="AG304" s="28" t="str">
        <f t="shared" si="13"/>
        <v/>
      </c>
      <c r="AH304" s="23" t="str">
        <f>IF(AG304="","",IF(AG304&gt;=Panduan!$B$4,"Terserap","Perlu Evaluasi"))</f>
        <v/>
      </c>
      <c r="AI304" s="29" t="str">
        <f t="shared" ref="AI304:AJ304" si="313">IF(COUNTA(J304,O304,T304,Y304,AD304)=0,"",SUM(J304,O304,T304,Y304,AD304))</f>
        <v/>
      </c>
      <c r="AJ304" s="29" t="str">
        <f t="shared" si="313"/>
        <v/>
      </c>
      <c r="AK304" s="28" t="str">
        <f t="shared" si="15"/>
        <v/>
      </c>
      <c r="AL304" s="28" t="str">
        <f t="shared" si="16"/>
        <v/>
      </c>
      <c r="AM304" s="23" t="str">
        <f>IF(AL304="","",IF(AL304&gt;=Panduan!$B$4,"Terserap","Perlu Evaluasi"))</f>
        <v/>
      </c>
    </row>
    <row r="305" ht="15.75" customHeight="1">
      <c r="A305" s="23" t="str">
        <f t="shared" si="2"/>
        <v/>
      </c>
      <c r="B305" s="33"/>
      <c r="C305" s="23" t="str">
        <f t="shared" si="3"/>
        <v/>
      </c>
      <c r="D305" s="31"/>
      <c r="E305" s="31"/>
      <c r="F305" s="31"/>
      <c r="G305" s="31"/>
      <c r="H305" s="31"/>
      <c r="I305" s="32"/>
      <c r="J305" s="30"/>
      <c r="K305" s="30"/>
      <c r="L305" s="28" t="str">
        <f t="shared" si="4"/>
        <v/>
      </c>
      <c r="M305" s="28" t="str">
        <f t="shared" si="5"/>
        <v/>
      </c>
      <c r="N305" s="23" t="str">
        <f>IF(M305="","",IF(M305&gt;=Panduan!$B$4,"Terserap","Perlu Evaluasi"))</f>
        <v/>
      </c>
      <c r="O305" s="30"/>
      <c r="P305" s="30"/>
      <c r="Q305" s="28" t="str">
        <f t="shared" si="6"/>
        <v/>
      </c>
      <c r="R305" s="28" t="str">
        <f t="shared" si="7"/>
        <v/>
      </c>
      <c r="S305" s="23" t="str">
        <f>IF(R305="","",IF(R305&gt;=Panduan!$B$4,"Terserap","Perlu Evaluasi"))</f>
        <v/>
      </c>
      <c r="T305" s="30"/>
      <c r="U305" s="30"/>
      <c r="V305" s="28" t="str">
        <f t="shared" si="8"/>
        <v/>
      </c>
      <c r="W305" s="28" t="str">
        <f t="shared" si="9"/>
        <v/>
      </c>
      <c r="X305" s="23" t="str">
        <f>IF(W305="","",IF(W305&gt;=Panduan!$B$4,"Terserap","Perlu Evaluasi"))</f>
        <v/>
      </c>
      <c r="Y305" s="30"/>
      <c r="Z305" s="30"/>
      <c r="AA305" s="28" t="str">
        <f t="shared" si="10"/>
        <v/>
      </c>
      <c r="AB305" s="28" t="str">
        <f t="shared" si="11"/>
        <v/>
      </c>
      <c r="AC305" s="23" t="str">
        <f>IF(AB305="","",IF(AB305&gt;=Panduan!$B$4,"Terserap","Perlu Evaluasi"))</f>
        <v/>
      </c>
      <c r="AD305" s="30"/>
      <c r="AE305" s="30"/>
      <c r="AF305" s="28" t="str">
        <f t="shared" si="12"/>
        <v/>
      </c>
      <c r="AG305" s="28" t="str">
        <f t="shared" si="13"/>
        <v/>
      </c>
      <c r="AH305" s="23" t="str">
        <f>IF(AG305="","",IF(AG305&gt;=Panduan!$B$4,"Terserap","Perlu Evaluasi"))</f>
        <v/>
      </c>
      <c r="AI305" s="29" t="str">
        <f t="shared" ref="AI305:AJ305" si="314">IF(COUNTA(J305,O305,T305,Y305,AD305)=0,"",SUM(J305,O305,T305,Y305,AD305))</f>
        <v/>
      </c>
      <c r="AJ305" s="29" t="str">
        <f t="shared" si="314"/>
        <v/>
      </c>
      <c r="AK305" s="28" t="str">
        <f t="shared" si="15"/>
        <v/>
      </c>
      <c r="AL305" s="28" t="str">
        <f t="shared" si="16"/>
        <v/>
      </c>
      <c r="AM305" s="23" t="str">
        <f>IF(AL305="","",IF(AL305&gt;=Panduan!$B$4,"Terserap","Perlu Evaluasi"))</f>
        <v/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5:$AM$305"/>
  <mergeCells count="10">
    <mergeCell ref="Y4:AC4"/>
    <mergeCell ref="AD4:AH4"/>
    <mergeCell ref="A1:AM1"/>
    <mergeCell ref="H3:AM3"/>
    <mergeCell ref="A4:C4"/>
    <mergeCell ref="D4:H4"/>
    <mergeCell ref="J4:N4"/>
    <mergeCell ref="O4:S4"/>
    <mergeCell ref="T4:X4"/>
    <mergeCell ref="AI4:AM4"/>
  </mergeCells>
  <conditionalFormatting sqref="N6:N305">
    <cfRule type="expression" dxfId="0" priority="1">
      <formula>$N6="Terserap"</formula>
    </cfRule>
  </conditionalFormatting>
  <conditionalFormatting sqref="N6:N305">
    <cfRule type="expression" dxfId="1" priority="2">
      <formula>$N6="Perlu Evaluasi"</formula>
    </cfRule>
  </conditionalFormatting>
  <conditionalFormatting sqref="S6:S305">
    <cfRule type="expression" dxfId="0" priority="3">
      <formula>$S6="Terserap"</formula>
    </cfRule>
  </conditionalFormatting>
  <conditionalFormatting sqref="S6:S305">
    <cfRule type="expression" dxfId="1" priority="4">
      <formula>$S6="Perlu Evaluasi"</formula>
    </cfRule>
  </conditionalFormatting>
  <conditionalFormatting sqref="X6:X305">
    <cfRule type="expression" dxfId="0" priority="5">
      <formula>$X6="Terserap"</formula>
    </cfRule>
  </conditionalFormatting>
  <conditionalFormatting sqref="X6:X305">
    <cfRule type="expression" dxfId="1" priority="6">
      <formula>$X6="Perlu Evaluasi"</formula>
    </cfRule>
  </conditionalFormatting>
  <conditionalFormatting sqref="AC6:AC305">
    <cfRule type="expression" dxfId="0" priority="7">
      <formula>$AC6="Terserap"</formula>
    </cfRule>
  </conditionalFormatting>
  <conditionalFormatting sqref="AC6:AC305">
    <cfRule type="expression" dxfId="1" priority="8">
      <formula>$AC6="Perlu Evaluasi"</formula>
    </cfRule>
  </conditionalFormatting>
  <conditionalFormatting sqref="AH6:AH305">
    <cfRule type="expression" dxfId="0" priority="9">
      <formula>$AH6="Terserap"</formula>
    </cfRule>
  </conditionalFormatting>
  <conditionalFormatting sqref="AH6:AH305">
    <cfRule type="expression" dxfId="1" priority="10">
      <formula>$AH6="Perlu Evaluasi"</formula>
    </cfRule>
  </conditionalFormatting>
  <conditionalFormatting sqref="AM6:AM305">
    <cfRule type="expression" dxfId="0" priority="11">
      <formula>$AM6="Terserap"</formula>
    </cfRule>
  </conditionalFormatting>
  <conditionalFormatting sqref="AM6:AM305">
    <cfRule type="expression" dxfId="1" priority="12">
      <formula>$AM6="Perlu Evaluasi"</formula>
    </cfRule>
  </conditionalFormatting>
  <dataValidations>
    <dataValidation type="date" allowBlank="1" sqref="B6:B305">
      <formula1>DATE(2025,1,1)</formula1>
      <formula2>DATE(2030,12,31)</formula2>
    </dataValidation>
    <dataValidation type="decimal" operator="greaterThanOrEqual" allowBlank="1" sqref="I6:K305 O6:P305 T6:U305 Y6:Z305 AD6:AE305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6" width="14.0"/>
    <col customWidth="1" min="17" max="26" width="8.71"/>
  </cols>
  <sheetData>
    <row r="1" ht="19.5" customHeight="1">
      <c r="A1" s="34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9.5" customHeight="1">
      <c r="A2" s="35" t="s">
        <v>59</v>
      </c>
    </row>
    <row r="3" ht="19.5" customHeight="1"/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2.0"/>
    <col customWidth="1" min="2" max="3" width="18.0"/>
    <col customWidth="1" min="4" max="5" width="12.0"/>
    <col customWidth="1" min="6" max="7" width="14.0"/>
    <col customWidth="1" min="8" max="8" width="16.0"/>
    <col customWidth="1" min="9" max="9" width="3.0"/>
    <col customWidth="1" min="10" max="15" width="13.0"/>
    <col customWidth="1" min="16" max="26" width="8.71"/>
  </cols>
  <sheetData>
    <row r="1" ht="21.75" customHeight="1">
      <c r="A1" s="34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1.75" customHeight="1">
      <c r="A2" s="35" t="s">
        <v>61</v>
      </c>
    </row>
    <row r="3" ht="21.75" customHeight="1"/>
    <row r="4" ht="21.75" customHeight="1">
      <c r="A4" s="36" t="s">
        <v>62</v>
      </c>
      <c r="B4" s="7"/>
      <c r="C4" s="8"/>
      <c r="D4" s="36" t="s">
        <v>63</v>
      </c>
      <c r="E4" s="7"/>
      <c r="F4" s="8"/>
      <c r="G4" s="36" t="s">
        <v>64</v>
      </c>
      <c r="H4" s="7"/>
      <c r="I4" s="8"/>
      <c r="J4" s="36" t="s">
        <v>65</v>
      </c>
      <c r="K4" s="7"/>
      <c r="L4" s="8"/>
      <c r="M4" s="36" t="s">
        <v>66</v>
      </c>
      <c r="N4" s="7"/>
      <c r="O4" s="8"/>
    </row>
    <row r="5" ht="21.75" customHeight="1">
      <c r="A5" s="37">
        <f>COUNT('Input Harian'!B6:B305)</f>
        <v>5</v>
      </c>
      <c r="B5" s="38"/>
      <c r="C5" s="39"/>
      <c r="D5" s="40">
        <f>SUM('Input Harian'!AI6:AI305)</f>
        <v>1273</v>
      </c>
      <c r="E5" s="38"/>
      <c r="F5" s="39"/>
      <c r="G5" s="41">
        <f>SUM('Input Harian'!AJ6:AJ305)</f>
        <v>152</v>
      </c>
      <c r="H5" s="38"/>
      <c r="I5" s="39"/>
      <c r="J5" s="42">
        <f>IFERROR(1-(SUM('Input Harian'!AJ6:AJ305)/SUM('Input Harian'!AI6:AI305)),"")</f>
        <v>0.8805970149</v>
      </c>
      <c r="K5" s="38"/>
      <c r="L5" s="39"/>
      <c r="M5" s="43">
        <f>COUNTIF('Input Harian'!AM6:AM305,"Terserap")</f>
        <v>3</v>
      </c>
      <c r="N5" s="38"/>
      <c r="O5" s="39"/>
    </row>
    <row r="6" ht="21.75" customHeight="1">
      <c r="A6" s="44"/>
      <c r="B6" s="45"/>
      <c r="C6" s="46"/>
      <c r="D6" s="44"/>
      <c r="E6" s="45"/>
      <c r="F6" s="46"/>
      <c r="G6" s="44"/>
      <c r="H6" s="45"/>
      <c r="I6" s="46"/>
      <c r="J6" s="44"/>
      <c r="K6" s="45"/>
      <c r="L6" s="46"/>
      <c r="M6" s="44"/>
      <c r="N6" s="45"/>
      <c r="O6" s="46"/>
    </row>
    <row r="7" ht="21.75" customHeight="1"/>
    <row r="8" ht="27.0" customHeight="1">
      <c r="A8" s="47" t="s">
        <v>67</v>
      </c>
      <c r="B8" s="2"/>
      <c r="C8" s="2"/>
      <c r="D8" s="2"/>
      <c r="E8" s="2"/>
      <c r="F8" s="2"/>
      <c r="G8" s="2"/>
      <c r="H8" s="3"/>
    </row>
    <row r="9" ht="29.25" customHeight="1">
      <c r="A9" s="48" t="s">
        <v>68</v>
      </c>
      <c r="B9" s="48" t="s">
        <v>48</v>
      </c>
      <c r="C9" s="48" t="s">
        <v>49</v>
      </c>
      <c r="D9" s="48" t="s">
        <v>69</v>
      </c>
      <c r="E9" s="48" t="s">
        <v>70</v>
      </c>
      <c r="F9" s="48" t="s">
        <v>71</v>
      </c>
      <c r="G9" s="48" t="s">
        <v>72</v>
      </c>
      <c r="H9" s="48" t="s">
        <v>73</v>
      </c>
    </row>
    <row r="10" ht="21.75" customHeight="1">
      <c r="A10" s="31" t="s">
        <v>8</v>
      </c>
      <c r="B10" s="49">
        <f>SUM('Input Harian'!J6:J305)</f>
        <v>640</v>
      </c>
      <c r="C10" s="49">
        <f>SUM('Input Harian'!K6:K305)</f>
        <v>90</v>
      </c>
      <c r="D10" s="50">
        <f t="shared" ref="D10:D15" si="1">IF(B10=0,"",C10/B10)</f>
        <v>0.140625</v>
      </c>
      <c r="E10" s="50">
        <f t="shared" ref="E10:E15" si="2">IF(B10=0,"",1-D10)</f>
        <v>0.859375</v>
      </c>
      <c r="F10" s="50">
        <f>Panduan!$B$4</f>
        <v>0.8</v>
      </c>
      <c r="G10" s="50">
        <f>Panduan!$B$5</f>
        <v>0.2</v>
      </c>
      <c r="H10" s="51" t="str">
        <f t="shared" ref="H10:H15" si="3">IF(E10="","",IF(E10&gt;=F10,"Terserap","Perlu Evaluasi"))</f>
        <v>Terserap</v>
      </c>
    </row>
    <row r="11" ht="21.75" customHeight="1">
      <c r="A11" s="31" t="s">
        <v>9</v>
      </c>
      <c r="B11" s="49">
        <f>SUM('Input Harian'!O6:O305)</f>
        <v>150</v>
      </c>
      <c r="C11" s="49">
        <f>SUM('Input Harian'!P6:P305)</f>
        <v>20</v>
      </c>
      <c r="D11" s="50">
        <f t="shared" si="1"/>
        <v>0.1333333333</v>
      </c>
      <c r="E11" s="50">
        <f t="shared" si="2"/>
        <v>0.8666666667</v>
      </c>
      <c r="F11" s="50">
        <f>Panduan!$B$4</f>
        <v>0.8</v>
      </c>
      <c r="G11" s="50">
        <f>Panduan!$B$5</f>
        <v>0.2</v>
      </c>
      <c r="H11" s="51" t="str">
        <f t="shared" si="3"/>
        <v>Terserap</v>
      </c>
    </row>
    <row r="12" ht="21.75" customHeight="1">
      <c r="A12" s="31" t="s">
        <v>10</v>
      </c>
      <c r="B12" s="49">
        <f>SUM('Input Harian'!T6:T305)</f>
        <v>200</v>
      </c>
      <c r="C12" s="49">
        <f>SUM('Input Harian'!U6:U305)</f>
        <v>40</v>
      </c>
      <c r="D12" s="50">
        <f t="shared" si="1"/>
        <v>0.2</v>
      </c>
      <c r="E12" s="50">
        <f t="shared" si="2"/>
        <v>0.8</v>
      </c>
      <c r="F12" s="50">
        <f>Panduan!$B$4</f>
        <v>0.8</v>
      </c>
      <c r="G12" s="50">
        <f>Panduan!$B$5</f>
        <v>0.2</v>
      </c>
      <c r="H12" s="51" t="str">
        <f t="shared" si="3"/>
        <v>Terserap</v>
      </c>
    </row>
    <row r="13" ht="21.75" customHeight="1">
      <c r="A13" s="31" t="s">
        <v>11</v>
      </c>
      <c r="B13" s="49">
        <f>SUM('Input Harian'!Y6:Y305)</f>
        <v>83</v>
      </c>
      <c r="C13" s="49">
        <f>SUM('Input Harian'!Z6:Z305)</f>
        <v>2</v>
      </c>
      <c r="D13" s="50">
        <f t="shared" si="1"/>
        <v>0.02409638554</v>
      </c>
      <c r="E13" s="50">
        <f t="shared" si="2"/>
        <v>0.9759036145</v>
      </c>
      <c r="F13" s="50">
        <f>Panduan!$B$4</f>
        <v>0.8</v>
      </c>
      <c r="G13" s="50">
        <f>Panduan!$B$5</f>
        <v>0.2</v>
      </c>
      <c r="H13" s="51" t="str">
        <f t="shared" si="3"/>
        <v>Terserap</v>
      </c>
    </row>
    <row r="14" ht="21.75" customHeight="1">
      <c r="A14" s="31" t="s">
        <v>12</v>
      </c>
      <c r="B14" s="49">
        <f>SUM('Input Harian'!AD6:AD305)</f>
        <v>200</v>
      </c>
      <c r="C14" s="49">
        <f>SUM('Input Harian'!AE6:AE305)</f>
        <v>0</v>
      </c>
      <c r="D14" s="50">
        <f t="shared" si="1"/>
        <v>0</v>
      </c>
      <c r="E14" s="50">
        <f t="shared" si="2"/>
        <v>1</v>
      </c>
      <c r="F14" s="50">
        <f>Panduan!$B$4</f>
        <v>0.8</v>
      </c>
      <c r="G14" s="50">
        <f>Panduan!$B$5</f>
        <v>0.2</v>
      </c>
      <c r="H14" s="51" t="str">
        <f t="shared" si="3"/>
        <v>Terserap</v>
      </c>
    </row>
    <row r="15" ht="33.0" customHeight="1">
      <c r="A15" s="22" t="s">
        <v>74</v>
      </c>
      <c r="B15" s="52">
        <f>SUM('Input Harian'!AI6:AI305)</f>
        <v>1273</v>
      </c>
      <c r="C15" s="52">
        <f>SUM('Input Harian'!AJ6:AJ305)</f>
        <v>152</v>
      </c>
      <c r="D15" s="53">
        <f t="shared" si="1"/>
        <v>0.1194029851</v>
      </c>
      <c r="E15" s="53">
        <f t="shared" si="2"/>
        <v>0.8805970149</v>
      </c>
      <c r="F15" s="53">
        <f>Panduan!$B$4</f>
        <v>0.8</v>
      </c>
      <c r="G15" s="53">
        <f>Panduan!$B$5</f>
        <v>0.2</v>
      </c>
      <c r="H15" s="22" t="str">
        <f t="shared" si="3"/>
        <v>Terserap</v>
      </c>
    </row>
    <row r="16" ht="21.75" customHeight="1"/>
    <row r="17" ht="21.75" customHeight="1">
      <c r="A17" s="54" t="s">
        <v>75</v>
      </c>
    </row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C6"/>
    <mergeCell ref="D5:F6"/>
    <mergeCell ref="G5:I6"/>
    <mergeCell ref="J5:L6"/>
    <mergeCell ref="M5:O6"/>
    <mergeCell ref="A8:H8"/>
    <mergeCell ref="A17:H17"/>
    <mergeCell ref="A1:O1"/>
    <mergeCell ref="A2:O2"/>
    <mergeCell ref="A4:C4"/>
    <mergeCell ref="D4:F4"/>
    <mergeCell ref="G4:I4"/>
    <mergeCell ref="J4:L4"/>
    <mergeCell ref="M4:O4"/>
  </mergeCells>
  <conditionalFormatting sqref="H10:H15">
    <cfRule type="expression" dxfId="0" priority="1">
      <formula>$H10="Terserap"</formula>
    </cfRule>
  </conditionalFormatting>
  <conditionalFormatting sqref="H10:H15">
    <cfRule type="expression" dxfId="1" priority="2">
      <formula>$H10="Perlu Evaluasi"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showGridLines="0" workbookViewId="0"/>
  </sheetViews>
  <sheetFormatPr customHeight="1" defaultColWidth="14.43" defaultRowHeight="15.0"/>
  <cols>
    <col customWidth="1" min="1" max="1" width="50.0"/>
    <col customWidth="1" min="2" max="2" width="47.86"/>
    <col customWidth="1" min="3" max="6" width="14.0"/>
    <col customWidth="1" min="7" max="26" width="8.71"/>
  </cols>
  <sheetData>
    <row r="1" ht="21.75" customHeight="1">
      <c r="A1" s="1" t="s">
        <v>76</v>
      </c>
      <c r="B1" s="2"/>
      <c r="C1" s="2"/>
      <c r="D1" s="2"/>
      <c r="E1" s="2"/>
      <c r="F1" s="3"/>
    </row>
    <row r="2" ht="21.75" customHeight="1"/>
    <row r="3" ht="21.75" customHeight="1">
      <c r="A3" s="55" t="s">
        <v>77</v>
      </c>
    </row>
    <row r="4" ht="21.75" customHeight="1">
      <c r="A4" s="56" t="s">
        <v>78</v>
      </c>
      <c r="B4" s="57">
        <v>0.8</v>
      </c>
    </row>
    <row r="5" ht="21.75" customHeight="1">
      <c r="A5" s="56" t="s">
        <v>79</v>
      </c>
      <c r="B5" s="57">
        <f>1-B4</f>
        <v>0.2</v>
      </c>
    </row>
    <row r="6" ht="21.75" customHeight="1">
      <c r="A6" s="56" t="s">
        <v>80</v>
      </c>
      <c r="B6" s="56" t="s">
        <v>81</v>
      </c>
    </row>
    <row r="7" ht="21.75" customHeight="1">
      <c r="A7" s="56" t="s">
        <v>82</v>
      </c>
      <c r="B7" s="56" t="s">
        <v>83</v>
      </c>
    </row>
    <row r="8" ht="21.75" customHeight="1"/>
    <row r="9" ht="21.75" customHeight="1">
      <c r="A9" s="55" t="s">
        <v>84</v>
      </c>
    </row>
    <row r="10" ht="21.75" customHeight="1">
      <c r="A10" s="58" t="s">
        <v>85</v>
      </c>
    </row>
    <row r="11" ht="21.75" customHeight="1">
      <c r="A11" s="58" t="s">
        <v>86</v>
      </c>
    </row>
    <row r="12" ht="21.75" customHeight="1">
      <c r="A12" s="58" t="s">
        <v>87</v>
      </c>
    </row>
    <row r="13" ht="21.75" customHeight="1">
      <c r="A13" s="58" t="s">
        <v>88</v>
      </c>
    </row>
    <row r="14" ht="21.75" customHeight="1">
      <c r="A14" s="58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10:F10"/>
    <mergeCell ref="A11:F11"/>
    <mergeCell ref="A12:F12"/>
    <mergeCell ref="A13:F13"/>
    <mergeCell ref="A14:F1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2026-04-14T11:43:58Z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